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Prasad\Downloads\"/>
    </mc:Choice>
  </mc:AlternateContent>
  <xr:revisionPtr revIDLastSave="0" documentId="8_{7987B8F5-B6BE-4FB3-915B-27AA14F6E2E2}" xr6:coauthVersionLast="47" xr6:coauthVersionMax="47" xr10:uidLastSave="{00000000-0000-0000-0000-000000000000}"/>
  <bookViews>
    <workbookView xWindow="-108" yWindow="-108" windowWidth="23256" windowHeight="12456" firstSheet="7" activeTab="9" xr2:uid="{6AC4414B-F927-4616-83B3-BED661F7A7FC}"/>
  </bookViews>
  <sheets>
    <sheet name="Rating" sheetId="5" r:id="rId1"/>
    <sheet name="Sheet1" sheetId="6" r:id="rId2"/>
    <sheet name="Education by Attrition" sheetId="7" r:id="rId3"/>
    <sheet name="Sheet3" sheetId="8" r:id="rId4"/>
    <sheet name="Dept wise Attrition" sheetId="9" r:id="rId5"/>
    <sheet name="Attrition by Age group" sheetId="10" r:id="rId6"/>
    <sheet name="Sheet6" sheetId="11" r:id="rId7"/>
    <sheet name="Dataset" sheetId="1" r:id="rId8"/>
    <sheet name="KPI" sheetId="3" r:id="rId9"/>
    <sheet name="Dashboard" sheetId="4" r:id="rId10"/>
  </sheets>
  <definedNames>
    <definedName name="_xlchart.v1.0" hidden="1">Sheet3!$D$4:$D$12</definedName>
    <definedName name="_xlchart.v1.1" hidden="1">Sheet3!$E$4:$E$12</definedName>
    <definedName name="_xlchart.v1.6" hidden="1">Sheet3!$D$4:$D$12</definedName>
    <definedName name="_xlchart.v1.7" hidden="1">Sheet3!$E$4:$E$12</definedName>
    <definedName name="_xlchart.v2.2" hidden="1">Sheet6!$D$4:$D$6</definedName>
    <definedName name="_xlchart.v2.3" hidden="1">Sheet6!$E$4:$E$6</definedName>
    <definedName name="_xlchart.v2.4" hidden="1">Sheet6!$D$4:$D$6</definedName>
    <definedName name="_xlchart.v2.5" hidden="1">Sheet6!$E$4:$E$6</definedName>
    <definedName name="Slicer_Department">#N/A</definedName>
    <definedName name="Slicer_Education">#N/A</definedName>
    <definedName name="Slicer_Education_Field">#N/A</definedName>
    <definedName name="Slicer_Gender">#N/A</definedName>
    <definedName name="Slicer_Gender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1" l="1"/>
  <c r="D6" i="11"/>
  <c r="D4" i="11"/>
  <c r="D4" i="8"/>
  <c r="D5" i="8"/>
  <c r="D6" i="8"/>
  <c r="D7" i="8"/>
  <c r="D8" i="8"/>
  <c r="D9" i="8"/>
  <c r="D10" i="8"/>
  <c r="D11" i="8"/>
  <c r="D12" i="8"/>
  <c r="B6" i="5"/>
  <c r="A7" i="3"/>
  <c r="C7" i="3"/>
  <c r="B7" i="3"/>
  <c r="E5" i="11"/>
  <c r="E6" i="11"/>
  <c r="E4" i="11"/>
  <c r="E5" i="8"/>
  <c r="E7" i="8"/>
  <c r="E8" i="8"/>
  <c r="E9" i="8"/>
  <c r="E10" i="8"/>
  <c r="E11" i="8"/>
  <c r="E12" i="8"/>
  <c r="E6" i="8"/>
  <c r="E4" i="8"/>
  <c r="B9" i="6"/>
  <c r="B8" i="6"/>
  <c r="C8" i="6" l="1"/>
  <c r="C9" i="6"/>
  <c r="E7" i="3"/>
  <c r="D7" i="3"/>
  <c r="B7" i="5"/>
  <c r="C7" i="5" s="1"/>
  <c r="C6" i="5"/>
</calcChain>
</file>

<file path=xl/sharedStrings.xml><?xml version="1.0" encoding="utf-8"?>
<sst xmlns="http://schemas.openxmlformats.org/spreadsheetml/2006/main" count="19218" uniqueCount="1572">
  <si>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</si>
  <si>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</si>
  <si>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</si>
  <si>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</si>
  <si>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</si>
  <si>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</si>
  <si>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</si>
  <si>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</si>
  <si>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</si>
  <si>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</si>
  <si>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</si>
  <si>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</si>
  <si>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</si>
  <si>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</si>
  <si>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</si>
  <si>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</si>
  <si>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</si>
  <si>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</si>
  <si>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</si>
  <si>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</si>
  <si>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</si>
  <si>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</si>
  <si>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</si>
  <si>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</si>
  <si>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</si>
  <si>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</si>
  <si>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</si>
  <si>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</si>
  <si>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</si>
  <si>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</si>
  <si>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</si>
  <si>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</si>
  <si>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</si>
  <si>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</si>
  <si>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</si>
  <si>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</si>
  <si>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</si>
  <si>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</si>
  <si>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</si>
  <si>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</si>
  <si>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</si>
  <si>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</si>
  <si>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</si>
  <si>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</si>
  <si>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</si>
  <si>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</si>
  <si>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</si>
  <si>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</si>
  <si>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</si>
  <si>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</si>
  <si>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</si>
  <si>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</si>
  <si>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</si>
  <si>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</si>
  <si>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</si>
  <si>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</si>
  <si>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</si>
  <si>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</si>
  <si>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</si>
  <si>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</si>
  <si>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</si>
  <si>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</si>
  <si>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</si>
  <si>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</si>
  <si>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</si>
  <si>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</si>
  <si>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</si>
  <si>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</si>
  <si>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</si>
  <si>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</si>
  <si>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</si>
  <si>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</si>
  <si>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</si>
  <si>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</si>
  <si>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</si>
  <si>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</si>
  <si>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</si>
  <si>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</si>
  <si>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</si>
  <si>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</si>
  <si>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</si>
  <si>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</si>
  <si>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</si>
  <si>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</si>
  <si>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</si>
  <si>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</si>
  <si>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</si>
  <si>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</si>
  <si>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</si>
  <si>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</si>
  <si>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</si>
  <si>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</si>
  <si>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</si>
  <si>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</si>
  <si>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</si>
  <si>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</si>
  <si>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</si>
  <si>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</si>
  <si>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</si>
  <si>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</si>
  <si>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</si>
  <si>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</si>
  <si>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</si>
  <si>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</si>
  <si>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</si>
  <si>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</si>
  <si>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</si>
  <si>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</si>
  <si>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</si>
  <si>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</si>
  <si>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</si>
  <si>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</si>
  <si>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</si>
  <si>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</si>
  <si>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</si>
  <si>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</si>
  <si>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</si>
  <si>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</si>
  <si>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</si>
  <si>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</si>
  <si>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</si>
  <si>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</si>
  <si>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</si>
  <si>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</si>
  <si>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</si>
  <si>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</si>
  <si>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</si>
  <si>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</si>
  <si>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</si>
  <si>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</si>
  <si>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</si>
  <si>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</si>
  <si>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</si>
  <si>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</si>
  <si>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</si>
  <si>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</si>
  <si>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</si>
  <si>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</si>
  <si>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</si>
  <si>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</si>
  <si>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</si>
  <si>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</si>
  <si>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</si>
  <si>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</si>
  <si>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</si>
  <si>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</si>
  <si>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</si>
  <si>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</si>
  <si>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</si>
  <si>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</si>
  <si>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</si>
  <si>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</si>
  <si>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</si>
  <si>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</si>
  <si>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</si>
  <si>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</si>
  <si>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</si>
  <si>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</si>
  <si>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</si>
  <si>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</si>
  <si>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</si>
  <si>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</si>
  <si>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</si>
  <si>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</si>
  <si>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</si>
  <si>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</si>
  <si>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</si>
  <si>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</si>
  <si>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</si>
  <si>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</si>
  <si>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</si>
  <si>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</si>
  <si>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</si>
  <si>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</si>
  <si>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</si>
  <si>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</si>
  <si>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</si>
  <si>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</si>
  <si>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</si>
  <si>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</si>
  <si>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</si>
  <si>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</si>
  <si>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</si>
  <si>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</si>
  <si>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</si>
  <si>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</si>
  <si>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</si>
  <si>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</si>
  <si>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</si>
  <si>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</si>
  <si>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</si>
  <si>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</si>
  <si>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</si>
  <si>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</si>
  <si>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</si>
  <si>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</si>
  <si>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</si>
  <si>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</si>
  <si>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</si>
  <si>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</si>
  <si>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</si>
  <si>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</si>
  <si>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</si>
  <si>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</si>
  <si>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</si>
  <si>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</si>
  <si>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</si>
  <si>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</si>
  <si>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</si>
  <si>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</si>
  <si>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</si>
  <si>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</si>
  <si>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</si>
  <si>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</si>
  <si>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</si>
  <si>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</si>
  <si>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</si>
  <si>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</si>
  <si>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</si>
  <si>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</si>
  <si>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</si>
  <si>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</si>
  <si>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</si>
  <si>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</si>
  <si>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</si>
  <si>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</si>
  <si>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</si>
  <si>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</si>
  <si>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</si>
  <si>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</si>
  <si>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</si>
  <si>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</si>
  <si>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</si>
  <si>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</si>
  <si>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</si>
  <si>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</si>
  <si>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</si>
  <si>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</si>
  <si>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</si>
  <si>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</si>
  <si>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</si>
  <si>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</si>
  <si>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</si>
  <si>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</si>
  <si>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</si>
  <si>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</si>
  <si>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</si>
  <si>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</si>
  <si>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</si>
  <si>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</si>
  <si>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</si>
  <si>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</si>
  <si>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</si>
  <si>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</si>
  <si>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</si>
  <si>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</si>
  <si>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</si>
  <si>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</si>
  <si>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</si>
  <si>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</si>
  <si>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</si>
  <si>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</si>
  <si>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</si>
  <si>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</si>
  <si>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</si>
  <si>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</si>
  <si>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</si>
  <si>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</si>
  <si>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</si>
  <si>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</si>
  <si>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</si>
  <si>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</si>
  <si>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</si>
  <si>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</si>
  <si>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</si>
  <si>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</si>
  <si>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</si>
  <si>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</si>
  <si>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</si>
  <si>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</si>
  <si>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</si>
  <si>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</si>
  <si>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</si>
  <si>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</si>
  <si>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</si>
  <si>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</si>
  <si>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</si>
  <si>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</si>
  <si>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</si>
  <si>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</si>
  <si>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</si>
  <si>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</si>
  <si>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</si>
  <si>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</si>
  <si>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</si>
  <si>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</si>
  <si>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</si>
  <si>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</si>
  <si>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</si>
  <si>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</si>
  <si>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</si>
  <si>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</si>
  <si>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</si>
  <si>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</si>
  <si>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</si>
  <si>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</si>
  <si>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</si>
  <si>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</si>
  <si>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</si>
  <si>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</si>
  <si>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</si>
  <si>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</si>
  <si>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</si>
  <si>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</si>
  <si>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</si>
  <si>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</si>
  <si>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</si>
  <si>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</si>
  <si>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</si>
  <si>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</si>
  <si>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</si>
  <si>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</si>
  <si>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</si>
  <si>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</si>
  <si>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</si>
  <si>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</si>
  <si>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</si>
  <si>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</si>
  <si>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</si>
  <si>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</si>
  <si>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</si>
  <si>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</si>
  <si>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</si>
  <si>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</si>
  <si>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</si>
  <si>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</si>
  <si>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</si>
  <si>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</si>
  <si>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</si>
  <si>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</si>
  <si>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</si>
  <si>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</si>
  <si>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</si>
  <si>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</si>
  <si>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</si>
  <si>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</si>
  <si>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</si>
  <si>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</si>
  <si>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</si>
  <si>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</si>
  <si>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</si>
  <si>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</si>
  <si>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</si>
  <si>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</si>
  <si>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</si>
  <si>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</si>
  <si>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</si>
  <si>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</si>
  <si>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</si>
  <si>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</si>
  <si>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</si>
  <si>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</si>
  <si>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</si>
  <si>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</si>
  <si>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</si>
  <si>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</si>
  <si>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</si>
  <si>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</si>
  <si>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</si>
  <si>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</si>
  <si>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</si>
  <si>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</si>
  <si>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</si>
  <si>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</si>
  <si>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</si>
  <si>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</si>
  <si>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</si>
  <si>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</si>
  <si>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</si>
  <si>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</si>
  <si>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</si>
  <si>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</si>
  <si>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</si>
  <si>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</si>
  <si>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</si>
  <si>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</si>
  <si>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</si>
  <si>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</si>
  <si>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</si>
  <si>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</si>
  <si>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</si>
  <si>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</si>
  <si>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</si>
  <si>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</si>
  <si>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</si>
  <si>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</si>
  <si>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</si>
  <si>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</si>
  <si>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</si>
  <si>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</si>
  <si>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</si>
  <si>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</si>
  <si>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</si>
  <si>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</si>
  <si>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</si>
  <si>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</si>
  <si>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</si>
  <si>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</si>
  <si>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</si>
  <si>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</si>
  <si>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</si>
  <si>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</si>
  <si>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</si>
  <si>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</si>
  <si>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</si>
  <si>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</si>
  <si>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</si>
  <si>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</si>
  <si>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</si>
  <si>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</si>
  <si>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</si>
  <si>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</si>
  <si>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</si>
  <si>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</si>
  <si>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</si>
  <si>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</si>
  <si>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</si>
  <si>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</si>
  <si>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</si>
  <si>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</si>
  <si>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</si>
  <si>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</si>
  <si>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</si>
  <si>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</si>
  <si>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</si>
  <si>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</si>
  <si>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</si>
  <si>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</si>
  <si>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</si>
  <si>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</si>
  <si>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</si>
  <si>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</si>
  <si>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</si>
  <si>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</si>
  <si>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</si>
  <si>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</si>
  <si>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</si>
  <si>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</si>
  <si>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</si>
  <si>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</si>
  <si>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</si>
  <si>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</si>
  <si>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</si>
  <si>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</si>
  <si>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</si>
  <si>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</si>
  <si>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</si>
  <si>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</si>
  <si>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</si>
  <si>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</si>
  <si>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</si>
  <si>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</si>
  <si>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</si>
  <si>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</si>
  <si>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</si>
  <si>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</si>
  <si>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</si>
  <si>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</si>
  <si>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</si>
  <si>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</si>
  <si>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</si>
  <si>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</si>
  <si>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</si>
  <si>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</si>
  <si>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</si>
  <si>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</si>
  <si>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</si>
  <si>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</si>
  <si>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</si>
  <si>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</si>
  <si>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</si>
  <si>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</si>
  <si>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</si>
  <si>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</si>
  <si>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</si>
  <si>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</si>
  <si>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</si>
  <si>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</si>
  <si>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</si>
  <si>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</si>
  <si>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</si>
  <si>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</si>
  <si>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</si>
  <si>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</si>
  <si>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</si>
  <si>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</si>
  <si>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</si>
  <si>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</si>
  <si>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</si>
  <si>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</si>
  <si>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</si>
  <si>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</si>
  <si>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</si>
  <si>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</si>
  <si>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</si>
  <si>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</si>
  <si>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</si>
  <si>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</si>
  <si>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</si>
  <si>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</si>
  <si>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</si>
  <si>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</si>
  <si>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</si>
  <si>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</si>
  <si>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</si>
  <si>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</si>
  <si>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</si>
  <si>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</si>
  <si>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</si>
  <si>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</si>
  <si>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</si>
  <si>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</si>
  <si>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</si>
  <si>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</si>
  <si>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</si>
  <si>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</si>
  <si>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</si>
  <si>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</si>
  <si>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</si>
  <si>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</si>
  <si>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</si>
  <si>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</si>
  <si>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</si>
  <si>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</si>
  <si>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</si>
  <si>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</si>
  <si>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</si>
  <si>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</si>
  <si>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</si>
  <si>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</si>
  <si>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</si>
  <si>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</si>
  <si>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</si>
  <si>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</si>
  <si>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</si>
  <si>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</si>
  <si>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</si>
  <si>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</si>
  <si>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</si>
  <si>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</si>
  <si>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</si>
  <si>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</si>
  <si>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</si>
  <si>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</si>
  <si>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</si>
  <si>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</si>
  <si>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</si>
  <si>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</si>
  <si>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</si>
  <si>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</si>
  <si>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</si>
  <si>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</si>
  <si>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</si>
  <si>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</si>
  <si>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</si>
  <si>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</si>
  <si>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</si>
  <si>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</si>
  <si>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</si>
  <si>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</si>
  <si>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</si>
  <si>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</si>
  <si>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</si>
  <si>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</si>
  <si>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</si>
  <si>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</si>
  <si>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</si>
  <si>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</si>
  <si>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</si>
  <si>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</si>
  <si>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</si>
  <si>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</si>
  <si>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</si>
  <si>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</si>
  <si>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</si>
  <si>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</si>
  <si>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</si>
  <si>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</si>
  <si>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</si>
  <si>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</si>
  <si>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</si>
  <si>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</si>
  <si>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</si>
  <si>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</si>
  <si>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</si>
  <si>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</si>
  <si>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</si>
  <si>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</si>
  <si>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</si>
  <si>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</si>
  <si>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</si>
  <si>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</si>
  <si>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</si>
  <si>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</si>
  <si>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</si>
  <si>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</si>
  <si>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</si>
  <si>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</si>
  <si>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</si>
  <si>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</si>
  <si>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</si>
  <si>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</si>
  <si>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</si>
  <si>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</si>
  <si>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</si>
  <si>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</si>
  <si>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</si>
  <si>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</si>
  <si>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</si>
  <si>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</si>
  <si>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</si>
  <si>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</si>
  <si>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</si>
  <si>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</si>
  <si>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</si>
  <si>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</si>
  <si>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</si>
  <si>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</si>
  <si>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</si>
  <si>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</si>
  <si>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</si>
  <si>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</si>
  <si>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</si>
  <si>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</si>
  <si>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</si>
  <si>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</si>
  <si>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</si>
  <si>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</si>
  <si>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</si>
  <si>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</si>
  <si>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</si>
  <si>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</si>
  <si>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</si>
  <si>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</si>
  <si>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</si>
  <si>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</si>
  <si>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</si>
  <si>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</si>
  <si>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</si>
  <si>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</si>
  <si>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</si>
  <si>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</si>
  <si>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</si>
  <si>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</si>
  <si>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</si>
  <si>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</si>
  <si>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</si>
  <si>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</si>
  <si>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</si>
  <si>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</si>
  <si>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</si>
  <si>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</si>
  <si>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</si>
  <si>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</si>
  <si>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</si>
  <si>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</si>
  <si>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</si>
  <si>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</si>
  <si>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</si>
  <si>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</si>
  <si>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</si>
  <si>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</si>
  <si>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</si>
  <si>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</si>
  <si>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</si>
  <si>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</si>
  <si>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</si>
  <si>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</si>
  <si>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</si>
  <si>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</si>
  <si>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</si>
  <si>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</si>
  <si>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</si>
  <si>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</si>
  <si>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</si>
  <si>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</si>
  <si>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</si>
  <si>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</si>
  <si>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</si>
  <si>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</si>
  <si>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</si>
  <si>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</si>
  <si>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</si>
  <si>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</si>
  <si>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</si>
  <si>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</si>
  <si>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</si>
  <si>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</si>
  <si>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</si>
  <si>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</si>
  <si>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</si>
  <si>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</si>
  <si>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</si>
  <si>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</si>
  <si>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</si>
  <si>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</si>
  <si>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</si>
  <si>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</si>
  <si>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</si>
  <si>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</si>
  <si>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</si>
  <si>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</si>
  <si>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</si>
  <si>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</si>
  <si>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</si>
  <si>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</si>
  <si>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</si>
  <si>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</si>
  <si>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</si>
  <si>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</si>
  <si>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</si>
  <si>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</si>
  <si>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</si>
  <si>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</si>
  <si>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</si>
  <si>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</si>
  <si>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</si>
  <si>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</si>
  <si>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</si>
  <si>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</si>
  <si>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</si>
  <si>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</si>
  <si>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</si>
  <si>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</si>
  <si>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</si>
  <si>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</si>
  <si>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</si>
  <si>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</si>
  <si>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</si>
  <si>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</si>
  <si>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</si>
  <si>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</si>
  <si>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</si>
  <si>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</si>
  <si>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</si>
  <si>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</si>
  <si>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</si>
  <si>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</si>
  <si>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</si>
  <si>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</si>
  <si>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</si>
  <si>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</si>
  <si>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</si>
  <si>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</si>
  <si>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</si>
  <si>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</si>
  <si>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</si>
  <si>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</si>
  <si>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</si>
  <si>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</si>
  <si>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</si>
  <si>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</si>
  <si>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</si>
  <si>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</si>
  <si>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</si>
  <si>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</si>
  <si>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</si>
  <si>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</si>
  <si>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</si>
  <si>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</si>
  <si>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</si>
  <si>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</si>
  <si>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</si>
  <si>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</si>
  <si>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</si>
  <si>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</si>
  <si>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</si>
  <si>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</si>
  <si>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</si>
  <si>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</si>
  <si>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</si>
  <si>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</si>
  <si>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</si>
  <si>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</si>
  <si>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</si>
  <si>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</si>
  <si>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</si>
  <si>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</si>
  <si>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</si>
  <si>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</si>
  <si>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</si>
  <si>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</si>
  <si>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</si>
  <si>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</si>
  <si>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</si>
  <si>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</si>
  <si>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</si>
  <si>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</si>
  <si>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</si>
  <si>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</si>
  <si>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</si>
  <si>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</si>
  <si>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</si>
  <si>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</si>
  <si>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</si>
  <si>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</si>
  <si>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</si>
  <si>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</si>
  <si>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</si>
  <si>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</si>
  <si>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</si>
  <si>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</si>
  <si>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</si>
  <si>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</si>
  <si>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</si>
  <si>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</si>
  <si>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</si>
  <si>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</si>
  <si>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</si>
  <si>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</si>
  <si>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</si>
  <si>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</si>
  <si>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</si>
  <si>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</si>
  <si>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</si>
  <si>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</si>
  <si>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</si>
  <si>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</si>
  <si>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</si>
  <si>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</si>
  <si>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</si>
  <si>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</si>
  <si>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</si>
  <si>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</si>
  <si>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</si>
  <si>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</si>
  <si>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</si>
  <si>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</si>
  <si>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</si>
  <si>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</si>
  <si>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</si>
  <si>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</si>
  <si>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</si>
  <si>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</si>
  <si>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</si>
  <si>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</si>
  <si>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</si>
  <si>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</si>
  <si>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</si>
  <si>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</si>
  <si>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</si>
  <si>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</si>
  <si>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</si>
  <si>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</si>
  <si>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</si>
  <si>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</si>
  <si>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</si>
  <si>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</si>
  <si>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</si>
  <si>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</si>
  <si>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</si>
  <si>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</si>
  <si>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</si>
  <si>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</si>
  <si>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</si>
  <si>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</si>
  <si>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</si>
  <si>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</si>
  <si>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</si>
  <si>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</si>
  <si>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</si>
  <si>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</si>
  <si>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</si>
  <si>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</si>
  <si>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</si>
  <si>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</si>
  <si>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</si>
  <si>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</si>
  <si>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</si>
  <si>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</si>
  <si>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</si>
  <si>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</si>
  <si>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</si>
  <si>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</si>
  <si>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</si>
  <si>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</si>
  <si>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</si>
  <si>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</si>
  <si>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</si>
  <si>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</si>
  <si>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</si>
  <si>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</si>
  <si>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</si>
  <si>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</si>
  <si>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</si>
  <si>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</si>
  <si>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</si>
  <si>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</si>
  <si>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</si>
  <si>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</si>
  <si>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</si>
  <si>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</si>
  <si>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</si>
  <si>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</si>
  <si>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</si>
  <si>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</si>
  <si>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</si>
  <si>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</si>
  <si>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</si>
  <si>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</si>
  <si>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</si>
  <si>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</si>
  <si>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</si>
  <si>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</si>
  <si>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</si>
  <si>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</si>
  <si>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</si>
  <si>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</si>
  <si>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</si>
  <si>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</si>
  <si>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</si>
  <si>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</si>
  <si>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</si>
  <si>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</si>
  <si>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</si>
  <si>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</si>
  <si>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</si>
  <si>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</si>
  <si>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</si>
  <si>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</si>
  <si>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</si>
  <si>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</si>
  <si>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</si>
  <si>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</si>
  <si>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</si>
  <si>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</si>
  <si>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</si>
  <si>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</si>
  <si>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</si>
  <si>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</si>
  <si>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</si>
  <si>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</si>
  <si>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</si>
  <si>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</si>
  <si>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</si>
  <si>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</si>
  <si>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</si>
  <si>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</si>
  <si>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</si>
  <si>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</si>
  <si>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</si>
  <si>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</si>
  <si>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</si>
  <si>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</si>
  <si>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</si>
  <si>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</si>
  <si>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</si>
  <si>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</si>
  <si>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</si>
  <si>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</si>
  <si>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</si>
  <si>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</si>
  <si>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</si>
  <si>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</si>
  <si>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</si>
  <si>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</si>
  <si>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</si>
  <si>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</si>
  <si>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</si>
  <si>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</si>
  <si>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</si>
  <si>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</si>
  <si>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</si>
  <si>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</si>
  <si>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</si>
  <si>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</si>
  <si>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</si>
  <si>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</si>
  <si>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</si>
  <si>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</si>
  <si>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</si>
  <si>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</si>
  <si>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</si>
  <si>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</si>
  <si>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</si>
  <si>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</si>
  <si>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</si>
  <si>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</si>
  <si>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</si>
  <si>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</si>
  <si>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</si>
  <si>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</si>
  <si>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</si>
  <si>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</si>
  <si>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</si>
  <si>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</si>
  <si>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</si>
  <si>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</si>
  <si>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</si>
  <si>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</si>
  <si>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</si>
  <si>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</si>
  <si>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</si>
  <si>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</si>
  <si>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</si>
  <si>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</si>
  <si>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</si>
  <si>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</si>
  <si>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</si>
  <si>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</si>
  <si>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</si>
  <si>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</si>
  <si>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</si>
  <si>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</si>
  <si>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</si>
  <si>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</si>
  <si>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</si>
  <si>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</si>
  <si>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</si>
  <si>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</si>
  <si>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</si>
  <si>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</si>
  <si>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</si>
  <si>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</si>
  <si>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</si>
  <si>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</si>
  <si>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</si>
  <si>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</si>
  <si>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</si>
  <si>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</si>
  <si>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</si>
  <si>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</si>
  <si>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</si>
  <si>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</si>
  <si>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</si>
  <si>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</si>
  <si>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</si>
  <si>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</si>
  <si>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</si>
  <si>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</si>
  <si>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</si>
  <si>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</si>
  <si>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</si>
  <si>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</si>
  <si>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</si>
  <si>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</si>
  <si>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</si>
  <si>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</si>
  <si>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</si>
  <si>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</si>
  <si>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</si>
  <si>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</si>
  <si>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</si>
  <si>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</si>
  <si>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</si>
  <si>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</si>
  <si>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</si>
  <si>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</si>
  <si>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</si>
  <si>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</si>
  <si>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</si>
  <si>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</si>
  <si>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</si>
  <si>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</si>
  <si>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</si>
  <si>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</si>
  <si>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</si>
  <si>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</si>
  <si>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</si>
  <si>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</si>
  <si>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</si>
  <si>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</si>
  <si>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</si>
  <si>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</si>
  <si>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</si>
  <si>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</si>
  <si>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</si>
  <si>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</si>
  <si>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</si>
  <si>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</si>
  <si>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</si>
  <si>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</si>
  <si>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</si>
  <si>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</si>
  <si>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</si>
  <si>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</si>
  <si>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</si>
  <si>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</si>
  <si>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</si>
  <si>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</si>
  <si>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</si>
  <si>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</si>
  <si>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</si>
  <si>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</si>
  <si>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</si>
  <si>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</si>
  <si>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</si>
  <si>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</si>
  <si>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</si>
  <si>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</si>
  <si>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</si>
  <si>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</si>
  <si>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</si>
  <si>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</si>
  <si>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</si>
  <si>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</si>
  <si>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</si>
  <si>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</si>
  <si>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</si>
  <si>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</si>
  <si>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</si>
  <si>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</si>
  <si>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</si>
  <si>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</si>
  <si>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</si>
  <si>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</si>
  <si>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</si>
  <si>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</si>
  <si>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</si>
  <si>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</si>
  <si>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</si>
  <si>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</si>
  <si>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</si>
  <si>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</si>
  <si>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</si>
  <si>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</si>
  <si>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</si>
  <si>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</si>
  <si>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</si>
  <si>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</si>
  <si>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</si>
  <si>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</si>
  <si>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</si>
  <si>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</si>
  <si>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</si>
  <si>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</si>
  <si>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</si>
  <si>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</si>
  <si>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</si>
  <si>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</si>
  <si>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</si>
  <si>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</si>
  <si>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</si>
  <si>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</si>
  <si>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</si>
  <si>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</si>
  <si>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</si>
  <si>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</si>
  <si>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</si>
  <si>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</si>
  <si>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</si>
  <si>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</si>
  <si>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</si>
  <si>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</si>
  <si>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</si>
  <si>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</si>
  <si>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</si>
  <si>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</si>
  <si>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</si>
  <si>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</si>
  <si>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</si>
  <si>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</si>
  <si>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</si>
  <si>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</si>
  <si>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</si>
  <si>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</si>
  <si>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</si>
  <si>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</si>
  <si>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</si>
  <si>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</si>
  <si>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</si>
  <si>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</si>
  <si>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</si>
  <si>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</si>
  <si>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</si>
  <si>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</si>
  <si>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</si>
  <si>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</si>
  <si>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</si>
  <si>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</si>
  <si>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</si>
  <si>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</si>
  <si>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</si>
  <si>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</si>
  <si>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</si>
  <si>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</si>
  <si>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</si>
  <si>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</si>
  <si>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</si>
  <si>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</si>
  <si>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</si>
  <si>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</si>
  <si>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</si>
  <si>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</si>
  <si>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</si>
  <si>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</si>
  <si>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</si>
  <si>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</si>
  <si>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</si>
  <si>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</si>
  <si>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</si>
  <si>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</si>
  <si>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</si>
  <si>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</si>
  <si>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</si>
  <si>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</si>
  <si>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</si>
  <si>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</si>
  <si>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</si>
  <si>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</si>
  <si>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</si>
  <si>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</si>
  <si>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</si>
  <si>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</si>
  <si>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</si>
  <si>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</si>
  <si>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</si>
  <si>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</si>
  <si>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</si>
  <si>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</si>
  <si>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</si>
  <si>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</si>
  <si>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</si>
  <si>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</si>
  <si>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</si>
  <si>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</si>
  <si>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</si>
  <si>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</si>
  <si>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</si>
  <si>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</si>
  <si>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</si>
  <si>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</si>
  <si>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</si>
  <si>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</si>
  <si>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</si>
  <si>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</si>
  <si>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</si>
  <si>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</si>
  <si>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</si>
  <si>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</si>
  <si>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</si>
  <si>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</si>
  <si>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</si>
  <si>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</si>
  <si>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</si>
  <si>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</si>
  <si>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</si>
  <si>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</si>
  <si>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</si>
  <si>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</si>
  <si>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</si>
  <si>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</si>
  <si>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</si>
  <si>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</si>
  <si>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</si>
  <si>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</si>
  <si>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</si>
  <si>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</si>
  <si>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</si>
  <si>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</si>
  <si>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</si>
  <si>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</si>
  <si>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</si>
  <si>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</si>
  <si>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</si>
  <si>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</si>
  <si>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</si>
  <si>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</si>
  <si>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</si>
  <si>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</si>
  <si>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</si>
  <si>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</si>
  <si>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</si>
  <si>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</si>
  <si>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</si>
  <si>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</si>
  <si>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</si>
  <si>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</si>
  <si>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</si>
  <si>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</si>
  <si>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</si>
  <si>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</si>
  <si>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</si>
  <si>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</si>
  <si>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</si>
  <si>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</si>
  <si>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</si>
  <si>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</si>
  <si>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</si>
  <si>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</si>
  <si>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</si>
  <si>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</si>
  <si>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</si>
  <si>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</si>
  <si>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</si>
  <si>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</si>
  <si>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</si>
  <si>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</si>
  <si>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</si>
  <si>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</si>
  <si>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</si>
  <si>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</si>
  <si>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</si>
  <si>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</si>
  <si>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</si>
  <si>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</si>
  <si>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</si>
  <si>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</si>
  <si>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</si>
  <si>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</si>
  <si>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</si>
  <si>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</si>
  <si>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</si>
  <si>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</si>
  <si>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</si>
  <si>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</si>
  <si>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</si>
  <si>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</si>
  <si>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</si>
  <si>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</si>
  <si>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</si>
  <si>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</si>
  <si>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</si>
  <si>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</si>
  <si>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</si>
  <si>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</si>
  <si>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</si>
  <si>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</si>
  <si>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</si>
  <si>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</si>
  <si>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</si>
  <si>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</si>
  <si>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</si>
  <si>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</si>
  <si>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</si>
  <si>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</si>
  <si>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</si>
  <si>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</si>
  <si>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</si>
  <si>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</si>
  <si>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</si>
  <si>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</si>
  <si>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</si>
  <si>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</si>
  <si>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</si>
  <si>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</si>
  <si>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</si>
  <si>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</si>
  <si>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</si>
  <si>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</si>
  <si>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</si>
  <si>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</si>
  <si>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</si>
  <si>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</si>
  <si>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</si>
  <si>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</si>
  <si>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</si>
  <si>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</si>
  <si>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</si>
  <si>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</si>
  <si>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</si>
  <si>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</si>
  <si>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</si>
  <si>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</si>
  <si>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</si>
  <si>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</si>
  <si>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</si>
  <si>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</si>
  <si>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</si>
  <si>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</si>
  <si>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</si>
  <si>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</si>
  <si>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</si>
  <si>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</si>
  <si>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</si>
  <si>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</si>
  <si>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</si>
  <si>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</si>
  <si>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</si>
  <si>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</si>
  <si>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</si>
  <si>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</si>
  <si>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</si>
  <si>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</si>
  <si>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</si>
  <si>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</si>
  <si>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</si>
  <si>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</si>
  <si>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</si>
  <si>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</si>
  <si>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</si>
  <si>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</si>
  <si>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</si>
  <si>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</si>
  <si>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</si>
  <si>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</si>
  <si>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</si>
  <si>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</si>
  <si>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</si>
  <si>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</si>
  <si>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</si>
  <si>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</si>
  <si>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</si>
  <si>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</si>
  <si>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</si>
  <si>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</si>
  <si>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</si>
  <si>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</si>
  <si>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</si>
  <si>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</si>
  <si>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</si>
  <si>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</si>
  <si>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</si>
  <si>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</si>
  <si>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</si>
  <si>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</si>
  <si>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</si>
  <si>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</si>
  <si>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</si>
  <si>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</si>
  <si>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</si>
  <si>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</si>
  <si>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</si>
  <si>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</si>
  <si>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</si>
  <si>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</si>
  <si>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</si>
  <si>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</si>
  <si>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</si>
  <si>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</si>
  <si>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</si>
  <si>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</si>
  <si>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</si>
  <si>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</si>
  <si>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</si>
  <si>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</si>
  <si>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</si>
  <si>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</si>
  <si>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</si>
  <si>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</si>
  <si>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</si>
  <si>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</si>
  <si>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</si>
  <si>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</si>
  <si>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</si>
  <si>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</si>
  <si>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</si>
  <si>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</si>
  <si>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</si>
  <si>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</si>
  <si>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</si>
  <si>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</si>
  <si>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</si>
  <si>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</si>
  <si>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</si>
  <si>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</si>
  <si>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</si>
  <si>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</si>
  <si>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</si>
  <si>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</si>
  <si>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</si>
  <si>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</si>
  <si>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</si>
  <si>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</si>
  <si>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</si>
  <si>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</si>
  <si>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</si>
  <si>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</si>
  <si>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</si>
  <si>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</si>
  <si>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</si>
  <si>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</si>
  <si>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</si>
  <si>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</si>
  <si>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</si>
  <si>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</si>
  <si>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</si>
  <si>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</si>
  <si>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</si>
  <si>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</si>
  <si>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</si>
  <si>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</si>
  <si>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</si>
  <si>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</si>
  <si>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</si>
  <si>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</si>
  <si>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</si>
  <si>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</si>
  <si>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</si>
  <si>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</si>
  <si>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</si>
  <si>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</si>
  <si>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</si>
  <si>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</si>
  <si>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</si>
  <si>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</si>
  <si>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</si>
  <si>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</si>
  <si>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</si>
  <si>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</si>
  <si>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</si>
  <si>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</si>
  <si>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</si>
  <si>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</si>
  <si>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</si>
  <si>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</si>
  <si>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</si>
  <si>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</si>
  <si>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</si>
  <si>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</si>
  <si>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</si>
  <si>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</si>
  <si>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</si>
  <si>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</si>
  <si>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</si>
  <si>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</si>
  <si>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</si>
  <si>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</si>
  <si>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</si>
  <si>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</si>
  <si>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</si>
  <si>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</si>
  <si>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</si>
  <si>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</si>
  <si>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</si>
  <si>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</si>
  <si>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</si>
  <si>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</si>
  <si>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</si>
  <si>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</si>
  <si>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</si>
  <si>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</si>
  <si>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</si>
  <si>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</si>
  <si>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</si>
  <si>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</si>
  <si>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</si>
  <si>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</si>
  <si>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</si>
  <si>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</si>
  <si>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</si>
  <si>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</si>
  <si>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</si>
  <si>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</si>
  <si>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</si>
  <si>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</si>
  <si>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</si>
  <si>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</si>
  <si>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</si>
  <si>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</si>
  <si>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</si>
  <si>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</si>
  <si>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</si>
  <si>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</si>
  <si>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</si>
  <si>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</si>
  <si>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</si>
  <si>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Total Employee</t>
  </si>
  <si>
    <t>Attrition count</t>
  </si>
  <si>
    <t>Average Age</t>
  </si>
  <si>
    <t>Active Employee</t>
  </si>
  <si>
    <t>Attrition Rate</t>
  </si>
  <si>
    <t>Average of Job Satisfaction</t>
  </si>
  <si>
    <t>Rating</t>
  </si>
  <si>
    <t>Balance Rating</t>
  </si>
  <si>
    <t>Row Labels</t>
  </si>
  <si>
    <t>(blank)</t>
  </si>
  <si>
    <t>Grand Total</t>
  </si>
  <si>
    <t>Sum of Employee Count</t>
  </si>
  <si>
    <t>Sum of CF_attrition counts</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</si>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</sst>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164"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5">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3BEAB5B1-7568-4C27-8C81-81446F7455FC}">
      <tableStyleElement type="headerRow" dxfId="4"/>
      <tableStyleElement type="firstRowStripe" dxfId="3"/>
      <tableStyleElement type="secondRowStripe" dxfId="2"/>
    </tableStyle>
    <tableStyle name="Slicer Style 1" pivot="0" table="0" count="4" xr9:uid="{26B70913-68B7-4B11-961B-07DD9D13A8FB}">
      <tableStyleElement type="wholeTable" dxfId="1"/>
    </tableStyle>
  </tableStyles>
  <colors>
    <mruColors>
      <color rgb="FF602928"/>
      <color rgb="FF136D6B"/>
      <color rgb="FF803475"/>
      <color rgb="FFC7F5F5"/>
      <color rgb="FF572350"/>
      <color rgb="FFCA36AA"/>
      <color rgb="FFFFFFFF"/>
    </mruColors>
  </colors>
  <extLst>
    <ext xmlns:x14="http://schemas.microsoft.com/office/spreadsheetml/2009/9/main" uri="{46F421CA-312F-682f-3DD2-61675219B42D}">
      <x14:dxfs count="3">
        <dxf>
          <fill>
            <gradientFill>
              <stop position="0">
                <color theme="1" tint="0.25098422193060094"/>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degree="90">
              <stop position="0">
                <color theme="1"/>
              </stop>
              <stop position="1">
                <color theme="0" tint="-0.34900967436750391"/>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B9-4272-9CA8-A0DA9D936B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B9-4272-9CA8-A0DA9D936B2D}"/>
              </c:ext>
            </c:extLst>
          </c:dPt>
          <c:val>
            <c:numRef>
              <c:f>Rating!$C$6:$C$7</c:f>
              <c:numCache>
                <c:formatCode>General</c:formatCode>
                <c:ptCount val="2"/>
                <c:pt idx="0">
                  <c:v>0.65676229508196726</c:v>
                </c:pt>
                <c:pt idx="1">
                  <c:v>0.34323770491803274</c:v>
                </c:pt>
              </c:numCache>
            </c:numRef>
          </c:val>
          <c:extLst>
            <c:ext xmlns:c16="http://schemas.microsoft.com/office/drawing/2014/chart" uri="{C3380CC4-5D6E-409C-BE32-E72D297353CC}">
              <c16:uniqueId val="{00000000-0863-44AD-83B4-02FCF7007C2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E3-4DD2-BA38-A27EAD40EA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E3-4DD2-BA38-A27EAD40EABB}"/>
              </c:ext>
            </c:extLst>
          </c:dPt>
          <c:val>
            <c:numRef>
              <c:f>Sheet1!$C$8:$C$9</c:f>
              <c:numCache>
                <c:formatCode>0%</c:formatCode>
                <c:ptCount val="2"/>
                <c:pt idx="0">
                  <c:v>0.4</c:v>
                </c:pt>
                <c:pt idx="1">
                  <c:v>0.6</c:v>
                </c:pt>
              </c:numCache>
            </c:numRef>
          </c:val>
          <c:extLst>
            <c:ext xmlns:c16="http://schemas.microsoft.com/office/drawing/2014/chart" uri="{C3380CC4-5D6E-409C-BE32-E72D297353CC}">
              <c16:uniqueId val="{00000000-C672-4360-97DB-91255AA2037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dataset.xlsx]Dept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6A-47E6-B7C5-E775CAFE43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6A-47E6-B7C5-E775CAFE43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6A-47E6-B7C5-E775CAFE43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6A-47E6-B7C5-E775CAFE4381}"/>
              </c:ext>
            </c:extLst>
          </c:dPt>
          <c:cat>
            <c:strRef>
              <c:f>'Dept wise Attrition'!$A$4:$A$8</c:f>
              <c:strCache>
                <c:ptCount val="4"/>
                <c:pt idx="0">
                  <c:v>HR</c:v>
                </c:pt>
                <c:pt idx="1">
                  <c:v>R&amp;D</c:v>
                </c:pt>
                <c:pt idx="2">
                  <c:v>Sales</c:v>
                </c:pt>
                <c:pt idx="3">
                  <c:v>(blank)</c:v>
                </c:pt>
              </c:strCache>
            </c:strRef>
          </c:cat>
          <c:val>
            <c:numRef>
              <c:f>'Dept wise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0-1A56-4C60-99E9-2C4469EE50E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dataset.xlsx]Attrition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35D4-410E-AEB8-4B68E6943D63}"/>
            </c:ext>
          </c:extLst>
        </c:ser>
        <c:dLbls>
          <c:showLegendKey val="0"/>
          <c:showVal val="0"/>
          <c:showCatName val="0"/>
          <c:showSerName val="0"/>
          <c:showPercent val="0"/>
          <c:showBubbleSize val="0"/>
        </c:dLbls>
        <c:gapWidth val="219"/>
        <c:overlap val="-27"/>
        <c:axId val="2053298991"/>
        <c:axId val="2053286031"/>
      </c:barChart>
      <c:catAx>
        <c:axId val="205329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286031"/>
        <c:crosses val="autoZero"/>
        <c:auto val="1"/>
        <c:lblAlgn val="ctr"/>
        <c:lblOffset val="100"/>
        <c:noMultiLvlLbl val="0"/>
      </c:catAx>
      <c:valAx>
        <c:axId val="2053286031"/>
        <c:scaling>
          <c:orientation val="minMax"/>
        </c:scaling>
        <c:delete val="1"/>
        <c:axPos val="l"/>
        <c:numFmt formatCode="General" sourceLinked="1"/>
        <c:majorTickMark val="none"/>
        <c:minorTickMark val="none"/>
        <c:tickLblPos val="nextTo"/>
        <c:crossAx val="205329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EC3B-42C0-8E92-C750B02A9F2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C3B-42C0-8E92-C750B02A9F2C}"/>
              </c:ext>
            </c:extLst>
          </c:dPt>
          <c:val>
            <c:numRef>
              <c:f>Rating!$C$6:$C$7</c:f>
              <c:numCache>
                <c:formatCode>General</c:formatCode>
                <c:ptCount val="2"/>
                <c:pt idx="0">
                  <c:v>0.65676229508196726</c:v>
                </c:pt>
                <c:pt idx="1">
                  <c:v>0.34323770491803274</c:v>
                </c:pt>
              </c:numCache>
            </c:numRef>
          </c:val>
          <c:extLst>
            <c:ext xmlns:c16="http://schemas.microsoft.com/office/drawing/2014/chart" uri="{C3380CC4-5D6E-409C-BE32-E72D297353CC}">
              <c16:uniqueId val="{00000004-EC3B-42C0-8E92-C750B02A9F2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602928"/>
            </a:solidFill>
            <a:ln>
              <a:solidFill>
                <a:srgbClr val="602928"/>
              </a:solidFill>
            </a:ln>
            <a:effectLst/>
          </c:spPr>
          <c:invertIfNegative val="0"/>
          <c:val>
            <c:numRef>
              <c:f>Rating!$B$6</c:f>
              <c:numCache>
                <c:formatCode>0.0</c:formatCode>
                <c:ptCount val="1"/>
                <c:pt idx="0">
                  <c:v>2.627049180327869</c:v>
                </c:pt>
              </c:numCache>
            </c:numRef>
          </c:val>
          <c:extLst>
            <c:ext xmlns:c16="http://schemas.microsoft.com/office/drawing/2014/chart" uri="{C3380CC4-5D6E-409C-BE32-E72D297353CC}">
              <c16:uniqueId val="{00000000-5244-4CCC-A417-E3DA5E57D60F}"/>
            </c:ext>
          </c:extLst>
        </c:ser>
        <c:ser>
          <c:idx val="1"/>
          <c:order val="1"/>
          <c:spPr>
            <a:solidFill>
              <a:schemeClr val="bg1"/>
            </a:solidFill>
            <a:ln>
              <a:noFill/>
            </a:ln>
            <a:effectLst/>
          </c:spPr>
          <c:invertIfNegative val="0"/>
          <c:val>
            <c:numRef>
              <c:f>Rating!$B$7</c:f>
              <c:numCache>
                <c:formatCode>0.0</c:formatCode>
                <c:ptCount val="1"/>
                <c:pt idx="0">
                  <c:v>1.372950819672131</c:v>
                </c:pt>
              </c:numCache>
            </c:numRef>
          </c:val>
          <c:extLst>
            <c:ext xmlns:c16="http://schemas.microsoft.com/office/drawing/2014/chart" uri="{C3380CC4-5D6E-409C-BE32-E72D297353CC}">
              <c16:uniqueId val="{00000001-5244-4CCC-A417-E3DA5E57D60F}"/>
            </c:ext>
          </c:extLst>
        </c:ser>
        <c:dLbls>
          <c:showLegendKey val="0"/>
          <c:showVal val="0"/>
          <c:showCatName val="0"/>
          <c:showSerName val="0"/>
          <c:showPercent val="0"/>
          <c:showBubbleSize val="0"/>
        </c:dLbls>
        <c:gapWidth val="0"/>
        <c:overlap val="100"/>
        <c:axId val="2138922464"/>
        <c:axId val="2138933504"/>
      </c:barChart>
      <c:catAx>
        <c:axId val="2138922464"/>
        <c:scaling>
          <c:orientation val="minMax"/>
        </c:scaling>
        <c:delete val="1"/>
        <c:axPos val="l"/>
        <c:majorTickMark val="out"/>
        <c:minorTickMark val="none"/>
        <c:tickLblPos val="nextTo"/>
        <c:crossAx val="2138933504"/>
        <c:crosses val="autoZero"/>
        <c:auto val="1"/>
        <c:lblAlgn val="ctr"/>
        <c:lblOffset val="100"/>
        <c:noMultiLvlLbl val="0"/>
      </c:catAx>
      <c:valAx>
        <c:axId val="2138933504"/>
        <c:scaling>
          <c:orientation val="minMax"/>
          <c:max val="4"/>
        </c:scaling>
        <c:delete val="1"/>
        <c:axPos val="b"/>
        <c:numFmt formatCode="0.0" sourceLinked="1"/>
        <c:majorTickMark val="out"/>
        <c:minorTickMark val="none"/>
        <c:tickLblPos val="nextTo"/>
        <c:crossAx val="213892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95000"/>
              </a:schemeClr>
            </a:solidFill>
            <a:ln>
              <a:noFill/>
            </a:ln>
          </c:spPr>
          <c:dPt>
            <c:idx val="0"/>
            <c:bubble3D val="0"/>
            <c:spPr>
              <a:solidFill>
                <a:srgbClr val="803475"/>
              </a:solidFill>
              <a:ln w="19050">
                <a:noFill/>
              </a:ln>
              <a:effectLst/>
            </c:spPr>
            <c:extLst>
              <c:ext xmlns:c16="http://schemas.microsoft.com/office/drawing/2014/chart" uri="{C3380CC4-5D6E-409C-BE32-E72D297353CC}">
                <c16:uniqueId val="{00000001-DE76-4B81-95E9-0F7971944F7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E76-4B81-95E9-0F7971944F75}"/>
              </c:ext>
            </c:extLst>
          </c:dPt>
          <c:val>
            <c:numRef>
              <c:f>Sheet1!$C$8:$C$9</c:f>
              <c:numCache>
                <c:formatCode>0%</c:formatCode>
                <c:ptCount val="2"/>
                <c:pt idx="0">
                  <c:v>0.4</c:v>
                </c:pt>
                <c:pt idx="1">
                  <c:v>0.6</c:v>
                </c:pt>
              </c:numCache>
            </c:numRef>
          </c:val>
          <c:extLst>
            <c:ext xmlns:c16="http://schemas.microsoft.com/office/drawing/2014/chart" uri="{C3380CC4-5D6E-409C-BE32-E72D297353CC}">
              <c16:uniqueId val="{00000004-DE76-4B81-95E9-0F7971944F7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30203603148179"/>
          <c:y val="0.11033100750163977"/>
          <c:w val="0.60025123547715131"/>
          <c:h val="0.79772648624699372"/>
        </c:manualLayout>
      </c:layout>
      <c:doughnutChart>
        <c:varyColors val="1"/>
        <c:ser>
          <c:idx val="0"/>
          <c:order val="0"/>
          <c:spPr>
            <a:ln>
              <a:noFill/>
            </a:ln>
          </c:spPr>
          <c:explosion val="1"/>
          <c:dPt>
            <c:idx val="0"/>
            <c:bubble3D val="0"/>
            <c:spPr>
              <a:solidFill>
                <a:schemeClr val="bg1">
                  <a:lumMod val="85000"/>
                </a:schemeClr>
              </a:solidFill>
              <a:ln w="19050">
                <a:noFill/>
              </a:ln>
              <a:effectLst/>
            </c:spPr>
            <c:extLst>
              <c:ext xmlns:c16="http://schemas.microsoft.com/office/drawing/2014/chart" uri="{C3380CC4-5D6E-409C-BE32-E72D297353CC}">
                <c16:uniqueId val="{00000001-7667-41AF-9237-58DCF6809850}"/>
              </c:ext>
            </c:extLst>
          </c:dPt>
          <c:dPt>
            <c:idx val="1"/>
            <c:bubble3D val="0"/>
            <c:spPr>
              <a:solidFill>
                <a:srgbClr val="136D6B"/>
              </a:solidFill>
              <a:ln w="19050">
                <a:noFill/>
              </a:ln>
              <a:effectLst/>
            </c:spPr>
            <c:extLst>
              <c:ext xmlns:c16="http://schemas.microsoft.com/office/drawing/2014/chart" uri="{C3380CC4-5D6E-409C-BE32-E72D297353CC}">
                <c16:uniqueId val="{00000003-7667-41AF-9237-58DCF6809850}"/>
              </c:ext>
            </c:extLst>
          </c:dPt>
          <c:val>
            <c:numRef>
              <c:f>Sheet1!$C$8:$C$9</c:f>
              <c:numCache>
                <c:formatCode>0%</c:formatCode>
                <c:ptCount val="2"/>
                <c:pt idx="0">
                  <c:v>0.4</c:v>
                </c:pt>
                <c:pt idx="1">
                  <c:v>0.6</c:v>
                </c:pt>
              </c:numCache>
            </c:numRef>
          </c:val>
          <c:extLst>
            <c:ext xmlns:c16="http://schemas.microsoft.com/office/drawing/2014/chart" uri="{C3380CC4-5D6E-409C-BE32-E72D297353CC}">
              <c16:uniqueId val="{00000004-7667-41AF-9237-58DCF680985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dataset.xlsx]Education by Attrition!Education by Attrition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4000">
                <a:schemeClr val="accent6"/>
              </a:gs>
              <a:gs pos="0">
                <a:schemeClr val="accent6"/>
              </a:gs>
              <a:gs pos="74000">
                <a:schemeClr val="accent6"/>
              </a:gs>
              <a:gs pos="83000">
                <a:schemeClr val="accent6"/>
              </a:gs>
              <a:gs pos="100000">
                <a:schemeClr val="accent6"/>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44000">
                  <a:schemeClr val="accent6"/>
                </a:gs>
                <a:gs pos="0">
                  <a:schemeClr val="accent6"/>
                </a:gs>
                <a:gs pos="74000">
                  <a:schemeClr val="accent6"/>
                </a:gs>
                <a:gs pos="83000">
                  <a:schemeClr val="accent6"/>
                </a:gs>
                <a:gs pos="100000">
                  <a:schemeClr val="accent6"/>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115-48D5-88B5-0C3B2345F97A}"/>
            </c:ext>
          </c:extLst>
        </c:ser>
        <c:dLbls>
          <c:dLblPos val="outEnd"/>
          <c:showLegendKey val="0"/>
          <c:showVal val="1"/>
          <c:showCatName val="0"/>
          <c:showSerName val="0"/>
          <c:showPercent val="0"/>
          <c:showBubbleSize val="0"/>
        </c:dLbls>
        <c:gapWidth val="75"/>
        <c:axId val="2064022719"/>
        <c:axId val="2064015519"/>
      </c:barChart>
      <c:catAx>
        <c:axId val="2064022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64015519"/>
        <c:crosses val="autoZero"/>
        <c:auto val="1"/>
        <c:lblAlgn val="ctr"/>
        <c:lblOffset val="100"/>
        <c:noMultiLvlLbl val="0"/>
      </c:catAx>
      <c:valAx>
        <c:axId val="20640155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02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dataset.xlsx]Dept wise Attrition!Dept wise Attrition</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pivotFmt>
      <c:pivotFmt>
        <c:idx val="7"/>
        <c:spPr>
          <a:solidFill>
            <a:schemeClr val="accent1">
              <a:lumMod val="50000"/>
            </a:schemeClr>
          </a:solidFill>
          <a:ln w="19050">
            <a:solidFill>
              <a:schemeClr val="lt1"/>
            </a:solidFill>
          </a:ln>
          <a:effectLst/>
        </c:spPr>
      </c:pivotFmt>
      <c:pivotFmt>
        <c:idx val="8"/>
        <c:spPr>
          <a:solidFill>
            <a:schemeClr val="bg1">
              <a:lumMod val="50000"/>
              <a:alpha val="99000"/>
            </a:schemeClr>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8B81-4DB6-938B-53DCB0F46FEC}"/>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8B81-4DB6-938B-53DCB0F46FEC}"/>
              </c:ext>
            </c:extLst>
          </c:dPt>
          <c:dPt>
            <c:idx val="2"/>
            <c:bubble3D val="0"/>
            <c:spPr>
              <a:solidFill>
                <a:schemeClr val="bg1">
                  <a:lumMod val="50000"/>
                  <a:alpha val="99000"/>
                </a:schemeClr>
              </a:solidFill>
              <a:ln w="19050">
                <a:solidFill>
                  <a:schemeClr val="lt1"/>
                </a:solidFill>
              </a:ln>
              <a:effectLst/>
            </c:spPr>
            <c:extLst>
              <c:ext xmlns:c16="http://schemas.microsoft.com/office/drawing/2014/chart" uri="{C3380CC4-5D6E-409C-BE32-E72D297353CC}">
                <c16:uniqueId val="{00000005-8B81-4DB6-938B-53DCB0F46F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1F-41BB-92DB-E4F09EFD2F5B}"/>
              </c:ext>
            </c:extLst>
          </c:dPt>
          <c:cat>
            <c:strRef>
              <c:f>'Dept wise Attrition'!$A$4:$A$8</c:f>
              <c:strCache>
                <c:ptCount val="4"/>
                <c:pt idx="0">
                  <c:v>HR</c:v>
                </c:pt>
                <c:pt idx="1">
                  <c:v>R&amp;D</c:v>
                </c:pt>
                <c:pt idx="2">
                  <c:v>Sales</c:v>
                </c:pt>
                <c:pt idx="3">
                  <c:v>(blank)</c:v>
                </c:pt>
              </c:strCache>
            </c:strRef>
          </c:cat>
          <c:val>
            <c:numRef>
              <c:f>'Dept wise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6-8B81-4DB6-938B-53DCB0F46F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dataset.xlsx]Attrition by Age group!Attrition by Age group</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44000">
                <a:schemeClr val="accent6"/>
              </a:gs>
              <a:gs pos="0">
                <a:schemeClr val="accent6"/>
              </a:gs>
              <a:gs pos="74000">
                <a:schemeClr val="accent6"/>
              </a:gs>
              <a:gs pos="83000">
                <a:schemeClr val="accent6"/>
              </a:gs>
              <a:gs pos="100000">
                <a:schemeClr val="accent6"/>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44000">
                  <a:schemeClr val="accent6"/>
                </a:gs>
                <a:gs pos="0">
                  <a:schemeClr val="accent6"/>
                </a:gs>
                <a:gs pos="74000">
                  <a:schemeClr val="accent6"/>
                </a:gs>
                <a:gs pos="83000">
                  <a:schemeClr val="accent6"/>
                </a:gs>
                <a:gs pos="100000">
                  <a:schemeClr val="accent6"/>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695-46C9-AD09-B025F4B27FAE}"/>
            </c:ext>
          </c:extLst>
        </c:ser>
        <c:dLbls>
          <c:dLblPos val="outEnd"/>
          <c:showLegendKey val="0"/>
          <c:showVal val="1"/>
          <c:showCatName val="0"/>
          <c:showSerName val="0"/>
          <c:showPercent val="0"/>
          <c:showBubbleSize val="0"/>
        </c:dLbls>
        <c:gapWidth val="107"/>
        <c:overlap val="-27"/>
        <c:axId val="2053298991"/>
        <c:axId val="2053286031"/>
      </c:barChart>
      <c:catAx>
        <c:axId val="205329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053286031"/>
        <c:crosses val="autoZero"/>
        <c:auto val="1"/>
        <c:lblAlgn val="ctr"/>
        <c:lblOffset val="100"/>
        <c:noMultiLvlLbl val="0"/>
      </c:catAx>
      <c:valAx>
        <c:axId val="2053286031"/>
        <c:scaling>
          <c:orientation val="minMax"/>
        </c:scaling>
        <c:delete val="1"/>
        <c:axPos val="l"/>
        <c:numFmt formatCode="General" sourceLinked="1"/>
        <c:majorTickMark val="none"/>
        <c:minorTickMark val="none"/>
        <c:tickLblPos val="nextTo"/>
        <c:crossAx val="205329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3EAA-4747-8597-466433BBD858}">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82A3E653-6555-41C0-9DA2-EE853846721C}">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00000000-3EAA-4747-8597-466433BBD858}">
          <cx:dataPt idx="2">
            <cx:spPr>
              <a:solidFill>
                <a:srgbClr val="4472C4"/>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82A3E653-6555-41C0-9DA2-EE853846721C}">
          <cx:spPr>
            <a:solidFill>
              <a:schemeClr val="accent2">
                <a:lumMod val="75000"/>
              </a:schemeClr>
            </a:solidFill>
            <a:ln>
              <a:solidFill>
                <a:schemeClr val="accent2">
                  <a:lumMod val="75000"/>
                </a:schemeClr>
              </a:solidFill>
            </a:ln>
          </cx:spPr>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9.sv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9.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7.xml"/><Relationship Id="rId19"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266700</xdr:colOff>
      <xdr:row>2</xdr:row>
      <xdr:rowOff>175260</xdr:rowOff>
    </xdr:from>
    <xdr:to>
      <xdr:col>4</xdr:col>
      <xdr:colOff>571500</xdr:colOff>
      <xdr:row>6</xdr:row>
      <xdr:rowOff>167640</xdr:rowOff>
    </xdr:to>
    <xdr:graphicFrame macro="">
      <xdr:nvGraphicFramePr>
        <xdr:cNvPr id="3" name="Chart 2">
          <a:extLst>
            <a:ext uri="{FF2B5EF4-FFF2-40B4-BE49-F238E27FC236}">
              <a16:creationId xmlns:a16="http://schemas.microsoft.com/office/drawing/2014/main" id="{219624F4-B160-0E6C-7389-F82171AC2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83820</xdr:colOff>
      <xdr:row>4</xdr:row>
      <xdr:rowOff>22861</xdr:rowOff>
    </xdr:from>
    <xdr:to>
      <xdr:col>13</xdr:col>
      <xdr:colOff>83820</xdr:colOff>
      <xdr:row>10</xdr:row>
      <xdr:rowOff>129541</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6AB819B8-6C92-EB74-FE5E-0BBD63C73DE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16140" y="754381"/>
              <a:ext cx="1828800" cy="120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xdr:colOff>
      <xdr:row>12</xdr:row>
      <xdr:rowOff>144780</xdr:rowOff>
    </xdr:from>
    <xdr:to>
      <xdr:col>12</xdr:col>
      <xdr:colOff>53340</xdr:colOff>
      <xdr:row>24</xdr:row>
      <xdr:rowOff>167640</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3729A100-EAFF-01C5-FD59-961F763A2E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576060" y="2339340"/>
              <a:ext cx="1828800" cy="2217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114300</xdr:colOff>
      <xdr:row>11</xdr:row>
      <xdr:rowOff>53341</xdr:rowOff>
    </xdr:from>
    <xdr:to>
      <xdr:col>9</xdr:col>
      <xdr:colOff>114300</xdr:colOff>
      <xdr:row>17</xdr:row>
      <xdr:rowOff>137161</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2515F746-D6BD-5F99-2849-6FB5FCC0608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899660" y="206502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541020</xdr:colOff>
      <xdr:row>16</xdr:row>
      <xdr:rowOff>144780</xdr:rowOff>
    </xdr:from>
    <xdr:to>
      <xdr:col>2</xdr:col>
      <xdr:colOff>388620</xdr:colOff>
      <xdr:row>25</xdr:row>
      <xdr:rowOff>53340</xdr:rowOff>
    </xdr:to>
    <xdr:graphicFrame macro="">
      <xdr:nvGraphicFramePr>
        <xdr:cNvPr id="3" name="Chart 2">
          <a:extLst>
            <a:ext uri="{FF2B5EF4-FFF2-40B4-BE49-F238E27FC236}">
              <a16:creationId xmlns:a16="http://schemas.microsoft.com/office/drawing/2014/main" id="{C56C7155-5D97-E623-6FC7-85F73A998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1386840</xdr:colOff>
      <xdr:row>10</xdr:row>
      <xdr:rowOff>80010</xdr:rowOff>
    </xdr:from>
    <xdr:to>
      <xdr:col>4</xdr:col>
      <xdr:colOff>586740</xdr:colOff>
      <xdr:row>25</xdr:row>
      <xdr:rowOff>80010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6F8C222-0D2C-DF6B-D69B-B12B341A9A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86840" y="1908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1127760</xdr:colOff>
      <xdr:row>9</xdr:row>
      <xdr:rowOff>152400</xdr:rowOff>
    </xdr:from>
    <xdr:to>
      <xdr:col>6</xdr:col>
      <xdr:colOff>144780</xdr:colOff>
      <xdr:row>21</xdr:row>
      <xdr:rowOff>15240</xdr:rowOff>
    </xdr:to>
    <xdr:graphicFrame macro="">
      <xdr:nvGraphicFramePr>
        <xdr:cNvPr id="2" name="Chart 1">
          <a:extLst>
            <a:ext uri="{FF2B5EF4-FFF2-40B4-BE49-F238E27FC236}">
              <a16:creationId xmlns:a16="http://schemas.microsoft.com/office/drawing/2014/main" id="{97D9730B-FD62-4CDE-15D7-21C997F76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274320</xdr:colOff>
      <xdr:row>10</xdr:row>
      <xdr:rowOff>45720</xdr:rowOff>
    </xdr:from>
    <xdr:to>
      <xdr:col>7</xdr:col>
      <xdr:colOff>228600</xdr:colOff>
      <xdr:row>24</xdr:row>
      <xdr:rowOff>175260</xdr:rowOff>
    </xdr:to>
    <xdr:graphicFrame macro="">
      <xdr:nvGraphicFramePr>
        <xdr:cNvPr id="2" name="Chart 1">
          <a:extLst>
            <a:ext uri="{FF2B5EF4-FFF2-40B4-BE49-F238E27FC236}">
              <a16:creationId xmlns:a16="http://schemas.microsoft.com/office/drawing/2014/main" id="{F9ADF9A8-B4F6-84D9-276A-6B20FE396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274320</xdr:colOff>
      <xdr:row>8</xdr:row>
      <xdr:rowOff>167640</xdr:rowOff>
    </xdr:from>
    <xdr:to>
      <xdr:col>7</xdr:col>
      <xdr:colOff>480060</xdr:colOff>
      <xdr:row>23</xdr:row>
      <xdr:rowOff>160020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204B3C05-5385-B48F-96D1-B258805A13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35380" y="1630680"/>
              <a:ext cx="4572000" cy="2735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15240</xdr:colOff>
      <xdr:row>10</xdr:row>
      <xdr:rowOff>60961</xdr:rowOff>
    </xdr:from>
    <xdr:to>
      <xdr:col>3</xdr:col>
      <xdr:colOff>891540</xdr:colOff>
      <xdr:row>16</xdr:row>
      <xdr:rowOff>91441</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1DF3F3B9-F967-FF4A-2801-40FFB482403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636520" y="188976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701040</xdr:colOff>
      <xdr:row>10</xdr:row>
      <xdr:rowOff>7620</xdr:rowOff>
    </xdr:from>
    <xdr:to>
      <xdr:col>1</xdr:col>
      <xdr:colOff>1478280</xdr:colOff>
      <xdr:row>20</xdr:row>
      <xdr:rowOff>182879</xdr:rowOff>
    </xdr:to>
    <mc:AlternateContent xmlns:mc="http://schemas.openxmlformats.org/markup-compatibility/2006" xmlns:a14="http://schemas.microsoft.com/office/drawing/2010/main">
      <mc:Choice Requires="a14">
        <xdr:graphicFrame macro="">
          <xdr:nvGraphicFramePr>
            <xdr:cNvPr id="3" name="Education Field">
              <a:extLst>
                <a:ext uri="{FF2B5EF4-FFF2-40B4-BE49-F238E27FC236}">
                  <a16:creationId xmlns:a16="http://schemas.microsoft.com/office/drawing/2014/main" id="{990E0422-370A-D90D-8F02-595B645AC7B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01040" y="1836420"/>
              <a:ext cx="1828800" cy="2004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2</xdr:col>
      <xdr:colOff>0</xdr:colOff>
      <xdr:row>3</xdr:row>
      <xdr:rowOff>0</xdr:rowOff>
    </xdr:from>
    <xdr:ext cx="14754225" cy="7439025"/>
    <xdr:grpSp>
      <xdr:nvGrpSpPr>
        <xdr:cNvPr id="2" name="Shape 2">
          <a:extLst>
            <a:ext uri="{FF2B5EF4-FFF2-40B4-BE49-F238E27FC236}">
              <a16:creationId xmlns:a16="http://schemas.microsoft.com/office/drawing/2014/main" id="{EA5839CC-B130-4FF9-8CDC-E653377C9BEA}"/>
            </a:ext>
          </a:extLst>
        </xdr:cNvPr>
        <xdr:cNvGrpSpPr/>
      </xdr:nvGrpSpPr>
      <xdr:grpSpPr>
        <a:xfrm>
          <a:off x="1223818" y="554182"/>
          <a:ext cx="14754225" cy="7439025"/>
          <a:chOff x="0" y="60488"/>
          <a:chExt cx="10692000" cy="7439025"/>
        </a:xfrm>
      </xdr:grpSpPr>
      <xdr:grpSp>
        <xdr:nvGrpSpPr>
          <xdr:cNvPr id="3" name="Shape 29">
            <a:extLst>
              <a:ext uri="{FF2B5EF4-FFF2-40B4-BE49-F238E27FC236}">
                <a16:creationId xmlns:a16="http://schemas.microsoft.com/office/drawing/2014/main" id="{1B758FBD-D753-29D9-58D3-08D22FC30352}"/>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61B0F850-09A5-7D7C-E313-6AB98C6DB387}"/>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0D914C20-0647-16E0-2091-FB2BC3CBC4C8}"/>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6ED050D5-5E6A-9154-88A1-CD510B0CBC9B}"/>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9449822D-68B4-68F4-A759-43AD75D93EDA}"/>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DF8BE4D5-CC47-E0D9-6F0D-EBD0AE37A132}"/>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0ABD9E3F-A55A-E2A2-9C91-5C79C580F1B6}"/>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8710D58D-5EF1-419A-DBE3-3889C15E7C44}"/>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B3EE5AA1-ADEC-DA31-D601-D60640DFA5BD}"/>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8E80C12B-E8C3-FFDF-151E-774503E6C666}"/>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E6D8C70A-172E-9D13-DF2A-FADB928D89DC}"/>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F978145E-3C67-45BD-A452-143A7BCF1A73}"/>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C76AA0D3-F66E-98B3-804A-E02867F925BB}"/>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B81023FF-A716-DDB4-943F-36759214BD5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02FC0E28-DD41-74BC-D65E-9C729A673B2F}"/>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C3F644BF-3948-D927-C33B-1E497A407722}"/>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4E75B00D-36D6-8389-CA99-DC0916854103}"/>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590ABEF4-3272-C3B2-CB04-74C1C26A2AFD}"/>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1E8AD74A-7451-497F-B76D-349B7B53F0D8}"/>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A76AF6BC-D604-339C-0421-CB0C5F97F5FA}"/>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752D3D9C-C9FE-5C24-F1F6-00598CE4593A}"/>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DE353768-879A-9F1F-6CE2-1186A20D345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248C554B-B2EB-DD80-7429-04A9583E99B5}"/>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7A81E4F4-799E-7240-1695-67A9B51A91BB}"/>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A1353225-4566-BE5B-BDA8-B9E0DAF34BC8}"/>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7157916A-31D9-6114-8ED1-2E83A347E4CB}"/>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242455</xdr:colOff>
      <xdr:row>8</xdr:row>
      <xdr:rowOff>150091</xdr:rowOff>
    </xdr:from>
    <xdr:to>
      <xdr:col>5</xdr:col>
      <xdr:colOff>254000</xdr:colOff>
      <xdr:row>11</xdr:row>
      <xdr:rowOff>11545</xdr:rowOff>
    </xdr:to>
    <xdr:sp macro="" textlink="">
      <xdr:nvSpPr>
        <xdr:cNvPr id="29" name="TextBox 28">
          <a:extLst>
            <a:ext uri="{FF2B5EF4-FFF2-40B4-BE49-F238E27FC236}">
              <a16:creationId xmlns:a16="http://schemas.microsoft.com/office/drawing/2014/main" id="{E03C208B-1550-37AD-8088-04F91BC9E69C}"/>
            </a:ext>
          </a:extLst>
        </xdr:cNvPr>
        <xdr:cNvSpPr txBox="1"/>
      </xdr:nvSpPr>
      <xdr:spPr>
        <a:xfrm>
          <a:off x="1466273" y="1627909"/>
          <a:ext cx="1847272"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Total Employee</a:t>
          </a:r>
        </a:p>
      </xdr:txBody>
    </xdr:sp>
    <xdr:clientData/>
  </xdr:twoCellAnchor>
  <xdr:twoCellAnchor>
    <xdr:from>
      <xdr:col>2</xdr:col>
      <xdr:colOff>381000</xdr:colOff>
      <xdr:row>10</xdr:row>
      <xdr:rowOff>173182</xdr:rowOff>
    </xdr:from>
    <xdr:to>
      <xdr:col>5</xdr:col>
      <xdr:colOff>23091</xdr:colOff>
      <xdr:row>13</xdr:row>
      <xdr:rowOff>69272</xdr:rowOff>
    </xdr:to>
    <xdr:sp macro="" textlink="KPI!A7">
      <xdr:nvSpPr>
        <xdr:cNvPr id="30" name="TextBox 29">
          <a:extLst>
            <a:ext uri="{FF2B5EF4-FFF2-40B4-BE49-F238E27FC236}">
              <a16:creationId xmlns:a16="http://schemas.microsoft.com/office/drawing/2014/main" id="{C2C66B5B-7876-0D0E-4C74-899E157935AF}"/>
            </a:ext>
          </a:extLst>
        </xdr:cNvPr>
        <xdr:cNvSpPr txBox="1"/>
      </xdr:nvSpPr>
      <xdr:spPr>
        <a:xfrm>
          <a:off x="1604818" y="2020455"/>
          <a:ext cx="1477818" cy="450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A5F33D-6F63-4408-B2B8-E5DDC186341F}" type="TxLink">
            <a:rPr lang="en-US" sz="2500" b="0" i="0" u="none" strike="noStrike">
              <a:solidFill>
                <a:srgbClr val="000000"/>
              </a:solidFill>
              <a:latin typeface="Calibri"/>
              <a:ea typeface="Calibri"/>
              <a:cs typeface="Calibri"/>
            </a:rPr>
            <a:pPr/>
            <a:t>1470</a:t>
          </a:fld>
          <a:endParaRPr lang="en-IN" sz="2500"/>
        </a:p>
      </xdr:txBody>
    </xdr:sp>
    <xdr:clientData/>
  </xdr:twoCellAnchor>
  <xdr:twoCellAnchor>
    <xdr:from>
      <xdr:col>7</xdr:col>
      <xdr:colOff>-1</xdr:colOff>
      <xdr:row>8</xdr:row>
      <xdr:rowOff>150091</xdr:rowOff>
    </xdr:from>
    <xdr:to>
      <xdr:col>10</xdr:col>
      <xdr:colOff>207818</xdr:colOff>
      <xdr:row>11</xdr:row>
      <xdr:rowOff>34636</xdr:rowOff>
    </xdr:to>
    <xdr:sp macro="" textlink="">
      <xdr:nvSpPr>
        <xdr:cNvPr id="31" name="TextBox 30">
          <a:extLst>
            <a:ext uri="{FF2B5EF4-FFF2-40B4-BE49-F238E27FC236}">
              <a16:creationId xmlns:a16="http://schemas.microsoft.com/office/drawing/2014/main" id="{42891C9C-1EE3-7B01-E24D-8353EFC64078}"/>
            </a:ext>
          </a:extLst>
        </xdr:cNvPr>
        <xdr:cNvSpPr txBox="1"/>
      </xdr:nvSpPr>
      <xdr:spPr>
        <a:xfrm>
          <a:off x="4283363" y="1627909"/>
          <a:ext cx="2043546" cy="438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602928"/>
              </a:solidFill>
            </a:rPr>
            <a:t>Attrition</a:t>
          </a:r>
        </a:p>
      </xdr:txBody>
    </xdr:sp>
    <xdr:clientData/>
  </xdr:twoCellAnchor>
  <xdr:twoCellAnchor>
    <xdr:from>
      <xdr:col>12</xdr:col>
      <xdr:colOff>11546</xdr:colOff>
      <xdr:row>8</xdr:row>
      <xdr:rowOff>161637</xdr:rowOff>
    </xdr:from>
    <xdr:to>
      <xdr:col>15</xdr:col>
      <xdr:colOff>103909</xdr:colOff>
      <xdr:row>11</xdr:row>
      <xdr:rowOff>23091</xdr:rowOff>
    </xdr:to>
    <xdr:sp macro="" textlink="">
      <xdr:nvSpPr>
        <xdr:cNvPr id="32" name="TextBox 31">
          <a:extLst>
            <a:ext uri="{FF2B5EF4-FFF2-40B4-BE49-F238E27FC236}">
              <a16:creationId xmlns:a16="http://schemas.microsoft.com/office/drawing/2014/main" id="{69B12372-CBB7-FFBA-81CE-7B2C8D221D9E}"/>
            </a:ext>
          </a:extLst>
        </xdr:cNvPr>
        <xdr:cNvSpPr txBox="1"/>
      </xdr:nvSpPr>
      <xdr:spPr>
        <a:xfrm>
          <a:off x="7354455" y="1639455"/>
          <a:ext cx="1928090"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Active</a:t>
          </a:r>
          <a:r>
            <a:rPr lang="en-IN" sz="1800" b="1" baseline="0">
              <a:solidFill>
                <a:srgbClr val="602928"/>
              </a:solidFill>
            </a:rPr>
            <a:t> Employee</a:t>
          </a:r>
          <a:endParaRPr lang="en-IN" sz="1800" b="1">
            <a:solidFill>
              <a:srgbClr val="602928"/>
            </a:solidFill>
          </a:endParaRPr>
        </a:p>
      </xdr:txBody>
    </xdr:sp>
    <xdr:clientData/>
  </xdr:twoCellAnchor>
  <xdr:twoCellAnchor>
    <xdr:from>
      <xdr:col>8</xdr:col>
      <xdr:colOff>23090</xdr:colOff>
      <xdr:row>10</xdr:row>
      <xdr:rowOff>115455</xdr:rowOff>
    </xdr:from>
    <xdr:to>
      <xdr:col>10</xdr:col>
      <xdr:colOff>115454</xdr:colOff>
      <xdr:row>13</xdr:row>
      <xdr:rowOff>80818</xdr:rowOff>
    </xdr:to>
    <xdr:sp macro="" textlink="KPI!B7">
      <xdr:nvSpPr>
        <xdr:cNvPr id="33" name="TextBox 32">
          <a:extLst>
            <a:ext uri="{FF2B5EF4-FFF2-40B4-BE49-F238E27FC236}">
              <a16:creationId xmlns:a16="http://schemas.microsoft.com/office/drawing/2014/main" id="{D275613B-074A-E649-144E-546C2D07F880}"/>
            </a:ext>
          </a:extLst>
        </xdr:cNvPr>
        <xdr:cNvSpPr txBox="1"/>
      </xdr:nvSpPr>
      <xdr:spPr>
        <a:xfrm>
          <a:off x="4918363" y="1962728"/>
          <a:ext cx="1316182" cy="519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0417291-43A5-43FA-A77E-A434FE469C32}" type="TxLink">
            <a:rPr lang="en-US" sz="2500" b="0" i="0" u="none" strike="noStrike">
              <a:solidFill>
                <a:srgbClr val="000000"/>
              </a:solidFill>
              <a:latin typeface="Calibri"/>
              <a:ea typeface="Calibri"/>
              <a:cs typeface="Calibri"/>
            </a:rPr>
            <a:pPr algn="l"/>
            <a:t>237</a:t>
          </a:fld>
          <a:endParaRPr lang="en-US" sz="2500" b="0" i="0" u="none" strike="noStrike">
            <a:solidFill>
              <a:srgbClr val="000000"/>
            </a:solidFill>
            <a:latin typeface="Calibri"/>
            <a:ea typeface="Calibri"/>
            <a:cs typeface="Calibri"/>
          </a:endParaRPr>
        </a:p>
      </xdr:txBody>
    </xdr:sp>
    <xdr:clientData/>
  </xdr:twoCellAnchor>
  <xdr:twoCellAnchor>
    <xdr:from>
      <xdr:col>12</xdr:col>
      <xdr:colOff>127000</xdr:colOff>
      <xdr:row>10</xdr:row>
      <xdr:rowOff>127000</xdr:rowOff>
    </xdr:from>
    <xdr:to>
      <xdr:col>14</xdr:col>
      <xdr:colOff>381000</xdr:colOff>
      <xdr:row>13</xdr:row>
      <xdr:rowOff>11545</xdr:rowOff>
    </xdr:to>
    <xdr:sp macro="" textlink="KPI!D7">
      <xdr:nvSpPr>
        <xdr:cNvPr id="34" name="TextBox 33">
          <a:extLst>
            <a:ext uri="{FF2B5EF4-FFF2-40B4-BE49-F238E27FC236}">
              <a16:creationId xmlns:a16="http://schemas.microsoft.com/office/drawing/2014/main" id="{875A3C21-FAB6-42CC-30E5-A32FDC3B0084}"/>
            </a:ext>
          </a:extLst>
        </xdr:cNvPr>
        <xdr:cNvSpPr txBox="1"/>
      </xdr:nvSpPr>
      <xdr:spPr>
        <a:xfrm>
          <a:off x="7469909" y="1974273"/>
          <a:ext cx="1477818" cy="438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B83B91-E6DF-48D0-8B6C-FB379B06D905}" type="TxLink">
            <a:rPr lang="en-US" sz="2500" b="0" i="0" u="none" strike="noStrike">
              <a:solidFill>
                <a:srgbClr val="000000"/>
              </a:solidFill>
              <a:latin typeface="Calibri"/>
              <a:ea typeface="Calibri"/>
              <a:cs typeface="Calibri"/>
            </a:rPr>
            <a:pPr/>
            <a:t>1233</a:t>
          </a:fld>
          <a:endParaRPr lang="en-IN" sz="2500"/>
        </a:p>
      </xdr:txBody>
    </xdr:sp>
    <xdr:clientData/>
  </xdr:twoCellAnchor>
  <xdr:twoCellAnchor>
    <xdr:from>
      <xdr:col>16</xdr:col>
      <xdr:colOff>438728</xdr:colOff>
      <xdr:row>9</xdr:row>
      <xdr:rowOff>23091</xdr:rowOff>
    </xdr:from>
    <xdr:to>
      <xdr:col>20</xdr:col>
      <xdr:colOff>184727</xdr:colOff>
      <xdr:row>11</xdr:row>
      <xdr:rowOff>92364</xdr:rowOff>
    </xdr:to>
    <xdr:sp macro="" textlink="">
      <xdr:nvSpPr>
        <xdr:cNvPr id="35" name="TextBox 34">
          <a:extLst>
            <a:ext uri="{FF2B5EF4-FFF2-40B4-BE49-F238E27FC236}">
              <a16:creationId xmlns:a16="http://schemas.microsoft.com/office/drawing/2014/main" id="{E66A3C60-D052-3AC5-80BC-E019F3B7513C}"/>
            </a:ext>
          </a:extLst>
        </xdr:cNvPr>
        <xdr:cNvSpPr txBox="1"/>
      </xdr:nvSpPr>
      <xdr:spPr>
        <a:xfrm>
          <a:off x="10229273" y="1685636"/>
          <a:ext cx="2193636"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Attrition</a:t>
          </a:r>
          <a:r>
            <a:rPr lang="en-IN" sz="2000" b="1"/>
            <a:t> </a:t>
          </a:r>
          <a:r>
            <a:rPr lang="en-IN" sz="2000" b="1">
              <a:solidFill>
                <a:srgbClr val="602928"/>
              </a:solidFill>
            </a:rPr>
            <a:t>Rate</a:t>
          </a:r>
        </a:p>
      </xdr:txBody>
    </xdr:sp>
    <xdr:clientData/>
  </xdr:twoCellAnchor>
  <xdr:twoCellAnchor>
    <xdr:from>
      <xdr:col>17</xdr:col>
      <xdr:colOff>161636</xdr:colOff>
      <xdr:row>10</xdr:row>
      <xdr:rowOff>126999</xdr:rowOff>
    </xdr:from>
    <xdr:to>
      <xdr:col>19</xdr:col>
      <xdr:colOff>311727</xdr:colOff>
      <xdr:row>12</xdr:row>
      <xdr:rowOff>173181</xdr:rowOff>
    </xdr:to>
    <xdr:sp macro="" textlink="KPI!E7">
      <xdr:nvSpPr>
        <xdr:cNvPr id="36" name="TextBox 35">
          <a:extLst>
            <a:ext uri="{FF2B5EF4-FFF2-40B4-BE49-F238E27FC236}">
              <a16:creationId xmlns:a16="http://schemas.microsoft.com/office/drawing/2014/main" id="{68A81E23-892F-7670-DA74-B6FE868D89ED}"/>
            </a:ext>
          </a:extLst>
        </xdr:cNvPr>
        <xdr:cNvSpPr txBox="1"/>
      </xdr:nvSpPr>
      <xdr:spPr>
        <a:xfrm>
          <a:off x="10564091" y="1974272"/>
          <a:ext cx="1373909" cy="415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919F12-F951-4A65-BA57-560AAC899964}" type="TxLink">
            <a:rPr lang="en-US" sz="2500" b="0" i="0" u="none" strike="noStrike">
              <a:solidFill>
                <a:srgbClr val="000000"/>
              </a:solidFill>
              <a:latin typeface="Calibri"/>
              <a:ea typeface="Calibri"/>
              <a:cs typeface="Calibri"/>
            </a:rPr>
            <a:pPr/>
            <a:t>16%</a:t>
          </a:fld>
          <a:endParaRPr lang="en-IN" sz="2500"/>
        </a:p>
      </xdr:txBody>
    </xdr:sp>
    <xdr:clientData/>
  </xdr:twoCellAnchor>
  <xdr:twoCellAnchor>
    <xdr:from>
      <xdr:col>21</xdr:col>
      <xdr:colOff>311728</xdr:colOff>
      <xdr:row>9</xdr:row>
      <xdr:rowOff>23092</xdr:rowOff>
    </xdr:from>
    <xdr:to>
      <xdr:col>25</xdr:col>
      <xdr:colOff>34637</xdr:colOff>
      <xdr:row>11</xdr:row>
      <xdr:rowOff>57728</xdr:rowOff>
    </xdr:to>
    <xdr:sp macro="" textlink="">
      <xdr:nvSpPr>
        <xdr:cNvPr id="37" name="TextBox 36">
          <a:extLst>
            <a:ext uri="{FF2B5EF4-FFF2-40B4-BE49-F238E27FC236}">
              <a16:creationId xmlns:a16="http://schemas.microsoft.com/office/drawing/2014/main" id="{D6211F28-61A5-7F67-5098-12D347CBAEF7}"/>
            </a:ext>
          </a:extLst>
        </xdr:cNvPr>
        <xdr:cNvSpPr txBox="1"/>
      </xdr:nvSpPr>
      <xdr:spPr>
        <a:xfrm>
          <a:off x="13161819" y="1685637"/>
          <a:ext cx="2170545" cy="4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Average Age</a:t>
          </a:r>
        </a:p>
      </xdr:txBody>
    </xdr:sp>
    <xdr:clientData/>
  </xdr:twoCellAnchor>
  <xdr:twoCellAnchor>
    <xdr:from>
      <xdr:col>21</xdr:col>
      <xdr:colOff>450273</xdr:colOff>
      <xdr:row>11</xdr:row>
      <xdr:rowOff>46182</xdr:rowOff>
    </xdr:from>
    <xdr:to>
      <xdr:col>23</xdr:col>
      <xdr:colOff>496455</xdr:colOff>
      <xdr:row>13</xdr:row>
      <xdr:rowOff>34636</xdr:rowOff>
    </xdr:to>
    <xdr:sp macro="" textlink="KPI!C7">
      <xdr:nvSpPr>
        <xdr:cNvPr id="39" name="TextBox 38">
          <a:extLst>
            <a:ext uri="{FF2B5EF4-FFF2-40B4-BE49-F238E27FC236}">
              <a16:creationId xmlns:a16="http://schemas.microsoft.com/office/drawing/2014/main" id="{E0D003DC-6A08-C91A-D67D-E169C875C506}"/>
            </a:ext>
          </a:extLst>
        </xdr:cNvPr>
        <xdr:cNvSpPr txBox="1"/>
      </xdr:nvSpPr>
      <xdr:spPr>
        <a:xfrm>
          <a:off x="13300364" y="2078182"/>
          <a:ext cx="1270000" cy="357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DDDCF1-77AB-46C4-84A1-9AC50621D278}" type="TxLink">
            <a:rPr lang="en-US" sz="2300" b="0" i="0" u="none" strike="noStrike">
              <a:solidFill>
                <a:srgbClr val="000000"/>
              </a:solidFill>
              <a:latin typeface="Calibri"/>
              <a:ea typeface="Calibri"/>
              <a:cs typeface="Calibri"/>
            </a:rPr>
            <a:pPr algn="ctr"/>
            <a:t>37</a:t>
          </a:fld>
          <a:endParaRPr lang="en-IN" sz="2300"/>
        </a:p>
      </xdr:txBody>
    </xdr:sp>
    <xdr:clientData/>
  </xdr:twoCellAnchor>
  <xdr:oneCellAnchor>
    <xdr:from>
      <xdr:col>5</xdr:col>
      <xdr:colOff>334818</xdr:colOff>
      <xdr:row>9</xdr:row>
      <xdr:rowOff>23092</xdr:rowOff>
    </xdr:from>
    <xdr:ext cx="531092" cy="450272"/>
    <xdr:pic>
      <xdr:nvPicPr>
        <xdr:cNvPr id="40" name="image4.png">
          <a:extLst>
            <a:ext uri="{FF2B5EF4-FFF2-40B4-BE49-F238E27FC236}">
              <a16:creationId xmlns:a16="http://schemas.microsoft.com/office/drawing/2014/main" id="{BD4C53F8-2D46-45D9-A5BB-0858115765EA}"/>
            </a:ext>
          </a:extLst>
        </xdr:cNvPr>
        <xdr:cNvPicPr preferRelativeResize="0"/>
      </xdr:nvPicPr>
      <xdr:blipFill>
        <a:blip xmlns:r="http://schemas.openxmlformats.org/officeDocument/2006/relationships" r:embed="rId1" cstate="print"/>
        <a:stretch>
          <a:fillRect/>
        </a:stretch>
      </xdr:blipFill>
      <xdr:spPr>
        <a:xfrm>
          <a:off x="3394363" y="1685637"/>
          <a:ext cx="531092" cy="450272"/>
        </a:xfrm>
        <a:prstGeom prst="rect">
          <a:avLst/>
        </a:prstGeom>
        <a:noFill/>
      </xdr:spPr>
    </xdr:pic>
    <xdr:clientData fLocksWithSheet="0"/>
  </xdr:oneCellAnchor>
  <xdr:oneCellAnchor>
    <xdr:from>
      <xdr:col>10</xdr:col>
      <xdr:colOff>69273</xdr:colOff>
      <xdr:row>8</xdr:row>
      <xdr:rowOff>34637</xdr:rowOff>
    </xdr:from>
    <xdr:ext cx="682047" cy="819727"/>
    <xdr:pic>
      <xdr:nvPicPr>
        <xdr:cNvPr id="41" name="image7.png">
          <a:extLst>
            <a:ext uri="{FF2B5EF4-FFF2-40B4-BE49-F238E27FC236}">
              <a16:creationId xmlns:a16="http://schemas.microsoft.com/office/drawing/2014/main" id="{26908A31-F3B5-4C9E-9630-320AAA7A5499}"/>
            </a:ext>
          </a:extLst>
        </xdr:cNvPr>
        <xdr:cNvPicPr preferRelativeResize="0"/>
      </xdr:nvPicPr>
      <xdr:blipFill>
        <a:blip xmlns:r="http://schemas.openxmlformats.org/officeDocument/2006/relationships" r:embed="rId2" cstate="print"/>
        <a:stretch>
          <a:fillRect/>
        </a:stretch>
      </xdr:blipFill>
      <xdr:spPr>
        <a:xfrm>
          <a:off x="6188364" y="1512455"/>
          <a:ext cx="682047" cy="819727"/>
        </a:xfrm>
        <a:prstGeom prst="rect">
          <a:avLst/>
        </a:prstGeom>
        <a:noFill/>
      </xdr:spPr>
    </xdr:pic>
    <xdr:clientData fLocksWithSheet="0"/>
  </xdr:oneCellAnchor>
  <xdr:oneCellAnchor>
    <xdr:from>
      <xdr:col>15</xdr:col>
      <xdr:colOff>150091</xdr:colOff>
      <xdr:row>9</xdr:row>
      <xdr:rowOff>23090</xdr:rowOff>
    </xdr:from>
    <xdr:ext cx="523010" cy="531092"/>
    <xdr:pic>
      <xdr:nvPicPr>
        <xdr:cNvPr id="42" name="image5.png">
          <a:extLst>
            <a:ext uri="{FF2B5EF4-FFF2-40B4-BE49-F238E27FC236}">
              <a16:creationId xmlns:a16="http://schemas.microsoft.com/office/drawing/2014/main" id="{3A5ACC29-A495-4933-A596-317021137F0B}"/>
            </a:ext>
          </a:extLst>
        </xdr:cNvPr>
        <xdr:cNvPicPr preferRelativeResize="0"/>
      </xdr:nvPicPr>
      <xdr:blipFill>
        <a:blip xmlns:r="http://schemas.openxmlformats.org/officeDocument/2006/relationships" r:embed="rId3" cstate="print"/>
        <a:stretch>
          <a:fillRect/>
        </a:stretch>
      </xdr:blipFill>
      <xdr:spPr>
        <a:xfrm>
          <a:off x="9328727" y="1685635"/>
          <a:ext cx="523010" cy="531092"/>
        </a:xfrm>
        <a:prstGeom prst="rect">
          <a:avLst/>
        </a:prstGeom>
        <a:noFill/>
      </xdr:spPr>
    </xdr:pic>
    <xdr:clientData fLocksWithSheet="0"/>
  </xdr:oneCellAnchor>
  <xdr:oneCellAnchor>
    <xdr:from>
      <xdr:col>19</xdr:col>
      <xdr:colOff>554182</xdr:colOff>
      <xdr:row>9</xdr:row>
      <xdr:rowOff>11546</xdr:rowOff>
    </xdr:from>
    <xdr:ext cx="508000" cy="461818"/>
    <xdr:pic>
      <xdr:nvPicPr>
        <xdr:cNvPr id="43" name="image2.png">
          <a:extLst>
            <a:ext uri="{FF2B5EF4-FFF2-40B4-BE49-F238E27FC236}">
              <a16:creationId xmlns:a16="http://schemas.microsoft.com/office/drawing/2014/main" id="{8A4C52D4-F0EF-4639-852A-5E1D60B42676}"/>
            </a:ext>
          </a:extLst>
        </xdr:cNvPr>
        <xdr:cNvPicPr preferRelativeResize="0"/>
      </xdr:nvPicPr>
      <xdr:blipFill>
        <a:blip xmlns:r="http://schemas.openxmlformats.org/officeDocument/2006/relationships" r:embed="rId4" cstate="print"/>
        <a:stretch>
          <a:fillRect/>
        </a:stretch>
      </xdr:blipFill>
      <xdr:spPr>
        <a:xfrm>
          <a:off x="12180455" y="1674091"/>
          <a:ext cx="508000" cy="461818"/>
        </a:xfrm>
        <a:prstGeom prst="rect">
          <a:avLst/>
        </a:prstGeom>
        <a:noFill/>
      </xdr:spPr>
    </xdr:pic>
    <xdr:clientData fLocksWithSheet="0"/>
  </xdr:oneCellAnchor>
  <xdr:oneCellAnchor>
    <xdr:from>
      <xdr:col>24</xdr:col>
      <xdr:colOff>138547</xdr:colOff>
      <xdr:row>9</xdr:row>
      <xdr:rowOff>23091</xdr:rowOff>
    </xdr:from>
    <xdr:ext cx="796636" cy="473363"/>
    <xdr:pic>
      <xdr:nvPicPr>
        <xdr:cNvPr id="44" name="image6.png">
          <a:extLst>
            <a:ext uri="{FF2B5EF4-FFF2-40B4-BE49-F238E27FC236}">
              <a16:creationId xmlns:a16="http://schemas.microsoft.com/office/drawing/2014/main" id="{001DAAD5-B361-4003-A536-9FFBC7AD8425}"/>
            </a:ext>
          </a:extLst>
        </xdr:cNvPr>
        <xdr:cNvPicPr preferRelativeResize="0"/>
      </xdr:nvPicPr>
      <xdr:blipFill>
        <a:blip xmlns:r="http://schemas.openxmlformats.org/officeDocument/2006/relationships" r:embed="rId5" cstate="print"/>
        <a:stretch>
          <a:fillRect/>
        </a:stretch>
      </xdr:blipFill>
      <xdr:spPr>
        <a:xfrm>
          <a:off x="14824365" y="1685636"/>
          <a:ext cx="796636" cy="473363"/>
        </a:xfrm>
        <a:prstGeom prst="rect">
          <a:avLst/>
        </a:prstGeom>
        <a:noFill/>
      </xdr:spPr>
    </xdr:pic>
    <xdr:clientData fLocksWithSheet="0"/>
  </xdr:oneCellAnchor>
  <xdr:twoCellAnchor>
    <xdr:from>
      <xdr:col>3</xdr:col>
      <xdr:colOff>357909</xdr:colOff>
      <xdr:row>3</xdr:row>
      <xdr:rowOff>57727</xdr:rowOff>
    </xdr:from>
    <xdr:to>
      <xdr:col>15</xdr:col>
      <xdr:colOff>438727</xdr:colOff>
      <xdr:row>7</xdr:row>
      <xdr:rowOff>1</xdr:rowOff>
    </xdr:to>
    <xdr:sp macro="" textlink="">
      <xdr:nvSpPr>
        <xdr:cNvPr id="45" name="TextBox 44">
          <a:extLst>
            <a:ext uri="{FF2B5EF4-FFF2-40B4-BE49-F238E27FC236}">
              <a16:creationId xmlns:a16="http://schemas.microsoft.com/office/drawing/2014/main" id="{5FA02A11-79FF-C2C7-61F3-3CD9F1ECA60F}"/>
            </a:ext>
          </a:extLst>
        </xdr:cNvPr>
        <xdr:cNvSpPr txBox="1"/>
      </xdr:nvSpPr>
      <xdr:spPr>
        <a:xfrm>
          <a:off x="2193636" y="611909"/>
          <a:ext cx="7423727" cy="681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solidFill>
                <a:schemeClr val="accent1"/>
              </a:solidFill>
            </a:rPr>
            <a:t>HR ANALYITICS</a:t>
          </a:r>
          <a:r>
            <a:rPr lang="en-IN" sz="4800" b="1" baseline="0">
              <a:solidFill>
                <a:schemeClr val="accent1"/>
              </a:solidFill>
            </a:rPr>
            <a:t> DASHBOARD</a:t>
          </a:r>
          <a:endParaRPr lang="en-IN" sz="4800" b="1">
            <a:solidFill>
              <a:schemeClr val="accent1"/>
            </a:solidFill>
          </a:endParaRPr>
        </a:p>
      </xdr:txBody>
    </xdr:sp>
    <xdr:clientData/>
  </xdr:twoCellAnchor>
  <xdr:oneCellAnchor>
    <xdr:from>
      <xdr:col>2</xdr:col>
      <xdr:colOff>242456</xdr:colOff>
      <xdr:row>3</xdr:row>
      <xdr:rowOff>173182</xdr:rowOff>
    </xdr:from>
    <xdr:ext cx="727362" cy="593147"/>
    <xdr:pic>
      <xdr:nvPicPr>
        <xdr:cNvPr id="46" name="image1.png">
          <a:extLst>
            <a:ext uri="{FF2B5EF4-FFF2-40B4-BE49-F238E27FC236}">
              <a16:creationId xmlns:a16="http://schemas.microsoft.com/office/drawing/2014/main" id="{8144A722-0BBA-4637-A822-B59FFD95FC05}"/>
            </a:ext>
          </a:extLst>
        </xdr:cNvPr>
        <xdr:cNvPicPr preferRelativeResize="0"/>
      </xdr:nvPicPr>
      <xdr:blipFill>
        <a:blip xmlns:r="http://schemas.openxmlformats.org/officeDocument/2006/relationships" r:embed="rId6" cstate="print"/>
        <a:stretch>
          <a:fillRect/>
        </a:stretch>
      </xdr:blipFill>
      <xdr:spPr>
        <a:xfrm>
          <a:off x="1466274" y="727364"/>
          <a:ext cx="727362" cy="593147"/>
        </a:xfrm>
        <a:prstGeom prst="rect">
          <a:avLst/>
        </a:prstGeom>
        <a:noFill/>
      </xdr:spPr>
    </xdr:pic>
    <xdr:clientData fLocksWithSheet="0"/>
  </xdr:oneCellAnchor>
  <xdr:oneCellAnchor>
    <xdr:from>
      <xdr:col>16</xdr:col>
      <xdr:colOff>196273</xdr:colOff>
      <xdr:row>3</xdr:row>
      <xdr:rowOff>150091</xdr:rowOff>
    </xdr:from>
    <xdr:ext cx="723900" cy="628650"/>
    <xdr:pic>
      <xdr:nvPicPr>
        <xdr:cNvPr id="47" name="image3.png">
          <a:extLst>
            <a:ext uri="{FF2B5EF4-FFF2-40B4-BE49-F238E27FC236}">
              <a16:creationId xmlns:a16="http://schemas.microsoft.com/office/drawing/2014/main" id="{AD7BBBEF-98DA-447B-8602-56E1024D61B9}"/>
            </a:ext>
          </a:extLst>
        </xdr:cNvPr>
        <xdr:cNvPicPr preferRelativeResize="0"/>
      </xdr:nvPicPr>
      <xdr:blipFill>
        <a:blip xmlns:r="http://schemas.openxmlformats.org/officeDocument/2006/relationships" r:embed="rId7" cstate="print"/>
        <a:stretch>
          <a:fillRect/>
        </a:stretch>
      </xdr:blipFill>
      <xdr:spPr>
        <a:xfrm>
          <a:off x="9986818" y="704273"/>
          <a:ext cx="723900" cy="628650"/>
        </a:xfrm>
        <a:prstGeom prst="rect">
          <a:avLst/>
        </a:prstGeom>
        <a:noFill/>
      </xdr:spPr>
    </xdr:pic>
    <xdr:clientData fLocksWithSheet="0"/>
  </xdr:oneCellAnchor>
  <xdr:twoCellAnchor>
    <xdr:from>
      <xdr:col>17</xdr:col>
      <xdr:colOff>357909</xdr:colOff>
      <xdr:row>3</xdr:row>
      <xdr:rowOff>57727</xdr:rowOff>
    </xdr:from>
    <xdr:to>
      <xdr:col>20</xdr:col>
      <xdr:colOff>184727</xdr:colOff>
      <xdr:row>7</xdr:row>
      <xdr:rowOff>173182</xdr:rowOff>
    </xdr:to>
    <xdr:sp macro="" textlink="">
      <xdr:nvSpPr>
        <xdr:cNvPr id="48" name="TextBox 47">
          <a:extLst>
            <a:ext uri="{FF2B5EF4-FFF2-40B4-BE49-F238E27FC236}">
              <a16:creationId xmlns:a16="http://schemas.microsoft.com/office/drawing/2014/main" id="{BF155134-E9C0-4EEC-6E0B-3C6F61532501}"/>
            </a:ext>
          </a:extLst>
        </xdr:cNvPr>
        <xdr:cNvSpPr txBox="1"/>
      </xdr:nvSpPr>
      <xdr:spPr>
        <a:xfrm>
          <a:off x="10760364" y="611909"/>
          <a:ext cx="1662545" cy="854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500" b="1">
              <a:solidFill>
                <a:srgbClr val="602928"/>
              </a:solidFill>
            </a:rPr>
            <a:t>JOB</a:t>
          </a:r>
        </a:p>
        <a:p>
          <a:pPr algn="ctr"/>
          <a:r>
            <a:rPr lang="en-US" sz="1500" b="1">
              <a:solidFill>
                <a:srgbClr val="602928"/>
              </a:solidFill>
            </a:rPr>
            <a:t>SATISFACTION</a:t>
          </a:r>
        </a:p>
        <a:p>
          <a:pPr algn="ctr"/>
          <a:r>
            <a:rPr lang="en-IN" sz="1500" b="1">
              <a:solidFill>
                <a:srgbClr val="602928"/>
              </a:solidFill>
            </a:rPr>
            <a:t>RATING</a:t>
          </a:r>
        </a:p>
      </xdr:txBody>
    </xdr:sp>
    <xdr:clientData/>
  </xdr:twoCellAnchor>
  <xdr:twoCellAnchor>
    <xdr:from>
      <xdr:col>19</xdr:col>
      <xdr:colOff>461819</xdr:colOff>
      <xdr:row>3</xdr:row>
      <xdr:rowOff>11545</xdr:rowOff>
    </xdr:from>
    <xdr:to>
      <xdr:col>22</xdr:col>
      <xdr:colOff>138546</xdr:colOff>
      <xdr:row>8</xdr:row>
      <xdr:rowOff>46182</xdr:rowOff>
    </xdr:to>
    <xdr:graphicFrame macro="">
      <xdr:nvGraphicFramePr>
        <xdr:cNvPr id="49" name="Chart 48">
          <a:extLst>
            <a:ext uri="{FF2B5EF4-FFF2-40B4-BE49-F238E27FC236}">
              <a16:creationId xmlns:a16="http://schemas.microsoft.com/office/drawing/2014/main" id="{DB86F2CF-CD73-4F99-8568-2B4A53607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404091</xdr:colOff>
      <xdr:row>4</xdr:row>
      <xdr:rowOff>138546</xdr:rowOff>
    </xdr:from>
    <xdr:to>
      <xdr:col>21</xdr:col>
      <xdr:colOff>173182</xdr:colOff>
      <xdr:row>6</xdr:row>
      <xdr:rowOff>69272</xdr:rowOff>
    </xdr:to>
    <xdr:sp macro="" textlink="Rating!$B$6">
      <xdr:nvSpPr>
        <xdr:cNvPr id="50" name="TextBox 49">
          <a:extLst>
            <a:ext uri="{FF2B5EF4-FFF2-40B4-BE49-F238E27FC236}">
              <a16:creationId xmlns:a16="http://schemas.microsoft.com/office/drawing/2014/main" id="{AC150996-C1CD-737D-16E9-5C7CCD420704}"/>
            </a:ext>
          </a:extLst>
        </xdr:cNvPr>
        <xdr:cNvSpPr txBox="1"/>
      </xdr:nvSpPr>
      <xdr:spPr>
        <a:xfrm>
          <a:off x="12642273" y="877455"/>
          <a:ext cx="381000" cy="30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CC7EB5-7654-4759-AF3A-61F66F1C7A7A}" type="TxLink">
            <a:rPr lang="en-US" sz="1200" b="1" i="0" u="none" strike="noStrike">
              <a:solidFill>
                <a:schemeClr val="accent1">
                  <a:lumMod val="75000"/>
                </a:schemeClr>
              </a:solidFill>
              <a:latin typeface="Calibri"/>
              <a:ea typeface="Calibri"/>
              <a:cs typeface="Calibri"/>
            </a:rPr>
            <a:pPr algn="ctr"/>
            <a:t>2.6</a:t>
          </a:fld>
          <a:endParaRPr lang="en-IN" sz="1200" b="1">
            <a:solidFill>
              <a:schemeClr val="accent1">
                <a:lumMod val="75000"/>
              </a:schemeClr>
            </a:solidFill>
          </a:endParaRPr>
        </a:p>
      </xdr:txBody>
    </xdr:sp>
    <xdr:clientData/>
  </xdr:twoCellAnchor>
  <xdr:twoCellAnchor>
    <xdr:from>
      <xdr:col>22</xdr:col>
      <xdr:colOff>184728</xdr:colOff>
      <xdr:row>3</xdr:row>
      <xdr:rowOff>150090</xdr:rowOff>
    </xdr:from>
    <xdr:to>
      <xdr:col>25</xdr:col>
      <xdr:colOff>231141</xdr:colOff>
      <xdr:row>7</xdr:row>
      <xdr:rowOff>81741</xdr:rowOff>
    </xdr:to>
    <xdr:graphicFrame macro="">
      <xdr:nvGraphicFramePr>
        <xdr:cNvPr id="38" name="Chart 37">
          <a:extLst>
            <a:ext uri="{FF2B5EF4-FFF2-40B4-BE49-F238E27FC236}">
              <a16:creationId xmlns:a16="http://schemas.microsoft.com/office/drawing/2014/main" id="{0E857B83-8618-4C96-A440-01C22065B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323272</xdr:colOff>
      <xdr:row>4</xdr:row>
      <xdr:rowOff>11546</xdr:rowOff>
    </xdr:from>
    <xdr:to>
      <xdr:col>25</xdr:col>
      <xdr:colOff>161637</xdr:colOff>
      <xdr:row>6</xdr:row>
      <xdr:rowOff>106063</xdr:rowOff>
    </xdr:to>
    <xdr:sp macro="" textlink="">
      <xdr:nvSpPr>
        <xdr:cNvPr id="51" name="Freeform: Shape 50">
          <a:extLst>
            <a:ext uri="{FF2B5EF4-FFF2-40B4-BE49-F238E27FC236}">
              <a16:creationId xmlns:a16="http://schemas.microsoft.com/office/drawing/2014/main" id="{8D575040-6445-7CB1-A2A1-CD371169F03A}"/>
            </a:ext>
          </a:extLst>
        </xdr:cNvPr>
        <xdr:cNvSpPr/>
      </xdr:nvSpPr>
      <xdr:spPr>
        <a:xfrm>
          <a:off x="13785272" y="750455"/>
          <a:ext cx="1674092" cy="463972"/>
        </a:xfrm>
        <a:custGeom>
          <a:avLst/>
          <a:gdLst>
            <a:gd name="csX0" fmla="*/ 1084006 w 1732934"/>
            <a:gd name="csY0" fmla="*/ 90346 h 463972"/>
            <a:gd name="csX1" fmla="*/ 1032943 w 1732934"/>
            <a:gd name="csY1" fmla="*/ 233059 h 463972"/>
            <a:gd name="csX2" fmla="*/ 867696 w 1732934"/>
            <a:gd name="csY2" fmla="*/ 233058 h 463972"/>
            <a:gd name="csX3" fmla="*/ 1001384 w 1732934"/>
            <a:gd name="csY3" fmla="*/ 321259 h 463972"/>
            <a:gd name="csX4" fmla="*/ 950319 w 1732934"/>
            <a:gd name="csY4" fmla="*/ 463971 h 463972"/>
            <a:gd name="csX5" fmla="*/ 1084006 w 1732934"/>
            <a:gd name="csY5" fmla="*/ 375769 h 463972"/>
            <a:gd name="csX6" fmla="*/ 1217692 w 1732934"/>
            <a:gd name="csY6" fmla="*/ 463971 h 463972"/>
            <a:gd name="csX7" fmla="*/ 1166627 w 1732934"/>
            <a:gd name="csY7" fmla="*/ 321259 h 463972"/>
            <a:gd name="csX8" fmla="*/ 1300315 w 1732934"/>
            <a:gd name="csY8" fmla="*/ 233058 h 463972"/>
            <a:gd name="csX9" fmla="*/ 1135068 w 1732934"/>
            <a:gd name="csY9" fmla="*/ 233059 h 463972"/>
            <a:gd name="csX10" fmla="*/ 648929 w 1732934"/>
            <a:gd name="csY10" fmla="*/ 90346 h 463972"/>
            <a:gd name="csX11" fmla="*/ 597866 w 1732934"/>
            <a:gd name="csY11" fmla="*/ 233059 h 463972"/>
            <a:gd name="csX12" fmla="*/ 432619 w 1732934"/>
            <a:gd name="csY12" fmla="*/ 233058 h 463972"/>
            <a:gd name="csX13" fmla="*/ 566307 w 1732934"/>
            <a:gd name="csY13" fmla="*/ 321259 h 463972"/>
            <a:gd name="csX14" fmla="*/ 515242 w 1732934"/>
            <a:gd name="csY14" fmla="*/ 463971 h 463972"/>
            <a:gd name="csX15" fmla="*/ 648929 w 1732934"/>
            <a:gd name="csY15" fmla="*/ 375769 h 463972"/>
            <a:gd name="csX16" fmla="*/ 782615 w 1732934"/>
            <a:gd name="csY16" fmla="*/ 463971 h 463972"/>
            <a:gd name="csX17" fmla="*/ 731550 w 1732934"/>
            <a:gd name="csY17" fmla="*/ 321259 h 463972"/>
            <a:gd name="csX18" fmla="*/ 865238 w 1732934"/>
            <a:gd name="csY18" fmla="*/ 233058 h 463972"/>
            <a:gd name="csX19" fmla="*/ 699991 w 1732934"/>
            <a:gd name="csY19" fmla="*/ 233059 h 463972"/>
            <a:gd name="csX20" fmla="*/ 0 w 1732934"/>
            <a:gd name="csY20" fmla="*/ 0 h 463972"/>
            <a:gd name="csX21" fmla="*/ 1732934 w 1732934"/>
            <a:gd name="csY21" fmla="*/ 0 h 463972"/>
            <a:gd name="csX22" fmla="*/ 1732934 w 1732934"/>
            <a:gd name="csY22" fmla="*/ 222301 h 463972"/>
            <a:gd name="csX23" fmla="*/ 1567687 w 1732934"/>
            <a:gd name="csY23" fmla="*/ 222302 h 463972"/>
            <a:gd name="csX24" fmla="*/ 1516625 w 1732934"/>
            <a:gd name="csY24" fmla="*/ 79589 h 463972"/>
            <a:gd name="csX25" fmla="*/ 1465562 w 1732934"/>
            <a:gd name="csY25" fmla="*/ 222302 h 463972"/>
            <a:gd name="csX26" fmla="*/ 1300315 w 1732934"/>
            <a:gd name="csY26" fmla="*/ 222301 h 463972"/>
            <a:gd name="csX27" fmla="*/ 1434003 w 1732934"/>
            <a:gd name="csY27" fmla="*/ 310502 h 463972"/>
            <a:gd name="csX28" fmla="*/ 1382938 w 1732934"/>
            <a:gd name="csY28" fmla="*/ 453214 h 463972"/>
            <a:gd name="csX29" fmla="*/ 1516625 w 1732934"/>
            <a:gd name="csY29" fmla="*/ 365012 h 463972"/>
            <a:gd name="csX30" fmla="*/ 1650311 w 1732934"/>
            <a:gd name="csY30" fmla="*/ 453214 h 463972"/>
            <a:gd name="csX31" fmla="*/ 1599246 w 1732934"/>
            <a:gd name="csY31" fmla="*/ 310502 h 463972"/>
            <a:gd name="csX32" fmla="*/ 1732934 w 1732934"/>
            <a:gd name="csY32" fmla="*/ 222301 h 463972"/>
            <a:gd name="csX33" fmla="*/ 1732934 w 1732934"/>
            <a:gd name="csY33" fmla="*/ 463972 h 463972"/>
            <a:gd name="csX34" fmla="*/ 0 w 1732934"/>
            <a:gd name="csY34" fmla="*/ 463972 h 463972"/>
            <a:gd name="csX35" fmla="*/ 0 w 1732934"/>
            <a:gd name="csY35" fmla="*/ 222301 h 463972"/>
            <a:gd name="csX36" fmla="*/ 133688 w 1732934"/>
            <a:gd name="csY36" fmla="*/ 310502 h 463972"/>
            <a:gd name="csX37" fmla="*/ 82623 w 1732934"/>
            <a:gd name="csY37" fmla="*/ 453214 h 463972"/>
            <a:gd name="csX38" fmla="*/ 216310 w 1732934"/>
            <a:gd name="csY38" fmla="*/ 365012 h 463972"/>
            <a:gd name="csX39" fmla="*/ 349996 w 1732934"/>
            <a:gd name="csY39" fmla="*/ 453214 h 463972"/>
            <a:gd name="csX40" fmla="*/ 298931 w 1732934"/>
            <a:gd name="csY40" fmla="*/ 310502 h 463972"/>
            <a:gd name="csX41" fmla="*/ 432619 w 1732934"/>
            <a:gd name="csY41" fmla="*/ 222301 h 463972"/>
            <a:gd name="csX42" fmla="*/ 267372 w 1732934"/>
            <a:gd name="csY42" fmla="*/ 222302 h 463972"/>
            <a:gd name="csX43" fmla="*/ 216310 w 1732934"/>
            <a:gd name="csY43" fmla="*/ 79589 h 463972"/>
            <a:gd name="csX44" fmla="*/ 165247 w 1732934"/>
            <a:gd name="csY44" fmla="*/ 222302 h 463972"/>
            <a:gd name="csX45" fmla="*/ 0 w 1732934"/>
            <a:gd name="csY45" fmla="*/ 222301 h 46397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Lst>
          <a:rect l="l" t="t" r="r" b="b"/>
          <a:pathLst>
            <a:path w="1732934" h="463972">
              <a:moveTo>
                <a:pt x="1084006" y="90346"/>
              </a:moveTo>
              <a:lnTo>
                <a:pt x="1032943" y="233059"/>
              </a:lnTo>
              <a:lnTo>
                <a:pt x="867696" y="233058"/>
              </a:lnTo>
              <a:lnTo>
                <a:pt x="1001384" y="321259"/>
              </a:lnTo>
              <a:lnTo>
                <a:pt x="950319" y="463971"/>
              </a:lnTo>
              <a:lnTo>
                <a:pt x="1084006" y="375769"/>
              </a:lnTo>
              <a:lnTo>
                <a:pt x="1217692" y="463971"/>
              </a:lnTo>
              <a:lnTo>
                <a:pt x="1166627" y="321259"/>
              </a:lnTo>
              <a:lnTo>
                <a:pt x="1300315" y="233058"/>
              </a:lnTo>
              <a:lnTo>
                <a:pt x="1135068" y="233059"/>
              </a:lnTo>
              <a:close/>
              <a:moveTo>
                <a:pt x="648929" y="90346"/>
              </a:moveTo>
              <a:lnTo>
                <a:pt x="597866" y="233059"/>
              </a:lnTo>
              <a:lnTo>
                <a:pt x="432619" y="233058"/>
              </a:lnTo>
              <a:lnTo>
                <a:pt x="566307" y="321259"/>
              </a:lnTo>
              <a:lnTo>
                <a:pt x="515242" y="463971"/>
              </a:lnTo>
              <a:lnTo>
                <a:pt x="648929" y="375769"/>
              </a:lnTo>
              <a:lnTo>
                <a:pt x="782615" y="463971"/>
              </a:lnTo>
              <a:lnTo>
                <a:pt x="731550" y="321259"/>
              </a:lnTo>
              <a:lnTo>
                <a:pt x="865238" y="233058"/>
              </a:lnTo>
              <a:lnTo>
                <a:pt x="699991" y="233059"/>
              </a:lnTo>
              <a:close/>
              <a:moveTo>
                <a:pt x="0" y="0"/>
              </a:moveTo>
              <a:lnTo>
                <a:pt x="1732934" y="0"/>
              </a:lnTo>
              <a:lnTo>
                <a:pt x="1732934" y="222301"/>
              </a:lnTo>
              <a:lnTo>
                <a:pt x="1567687" y="222302"/>
              </a:lnTo>
              <a:lnTo>
                <a:pt x="1516625" y="79589"/>
              </a:lnTo>
              <a:lnTo>
                <a:pt x="1465562" y="222302"/>
              </a:lnTo>
              <a:lnTo>
                <a:pt x="1300315" y="222301"/>
              </a:lnTo>
              <a:lnTo>
                <a:pt x="1434003" y="310502"/>
              </a:lnTo>
              <a:lnTo>
                <a:pt x="1382938" y="453214"/>
              </a:lnTo>
              <a:lnTo>
                <a:pt x="1516625" y="365012"/>
              </a:lnTo>
              <a:lnTo>
                <a:pt x="1650311" y="453214"/>
              </a:lnTo>
              <a:lnTo>
                <a:pt x="1599246" y="310502"/>
              </a:lnTo>
              <a:lnTo>
                <a:pt x="1732934" y="222301"/>
              </a:lnTo>
              <a:lnTo>
                <a:pt x="1732934" y="463972"/>
              </a:lnTo>
              <a:lnTo>
                <a:pt x="0" y="463972"/>
              </a:lnTo>
              <a:lnTo>
                <a:pt x="0" y="222301"/>
              </a:lnTo>
              <a:lnTo>
                <a:pt x="133688" y="310502"/>
              </a:lnTo>
              <a:lnTo>
                <a:pt x="82623" y="453214"/>
              </a:lnTo>
              <a:lnTo>
                <a:pt x="216310" y="365012"/>
              </a:lnTo>
              <a:lnTo>
                <a:pt x="349996" y="453214"/>
              </a:lnTo>
              <a:lnTo>
                <a:pt x="298931" y="310502"/>
              </a:lnTo>
              <a:lnTo>
                <a:pt x="432619" y="222301"/>
              </a:lnTo>
              <a:lnTo>
                <a:pt x="267372" y="222302"/>
              </a:lnTo>
              <a:lnTo>
                <a:pt x="216310" y="79589"/>
              </a:lnTo>
              <a:lnTo>
                <a:pt x="165247" y="222302"/>
              </a:lnTo>
              <a:lnTo>
                <a:pt x="0" y="222301"/>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484910</xdr:colOff>
      <xdr:row>18</xdr:row>
      <xdr:rowOff>161636</xdr:rowOff>
    </xdr:from>
    <xdr:to>
      <xdr:col>9</xdr:col>
      <xdr:colOff>230909</xdr:colOff>
      <xdr:row>26</xdr:row>
      <xdr:rowOff>69273</xdr:rowOff>
    </xdr:to>
    <xdr:grpSp>
      <xdr:nvGrpSpPr>
        <xdr:cNvPr id="59" name="Group 58">
          <a:extLst>
            <a:ext uri="{FF2B5EF4-FFF2-40B4-BE49-F238E27FC236}">
              <a16:creationId xmlns:a16="http://schemas.microsoft.com/office/drawing/2014/main" id="{729FFFE0-9C03-BDD0-3779-3208A8454477}"/>
            </a:ext>
          </a:extLst>
        </xdr:cNvPr>
        <xdr:cNvGrpSpPr/>
      </xdr:nvGrpSpPr>
      <xdr:grpSpPr>
        <a:xfrm>
          <a:off x="1096819" y="3486727"/>
          <a:ext cx="4641272" cy="1385455"/>
          <a:chOff x="1096819" y="3786909"/>
          <a:chExt cx="4641272" cy="1381298"/>
        </a:xfrm>
      </xdr:grpSpPr>
      <xdr:graphicFrame macro="">
        <xdr:nvGraphicFramePr>
          <xdr:cNvPr id="52" name="Chart 51">
            <a:extLst>
              <a:ext uri="{FF2B5EF4-FFF2-40B4-BE49-F238E27FC236}">
                <a16:creationId xmlns:a16="http://schemas.microsoft.com/office/drawing/2014/main" id="{919A4BC3-8528-4117-8F18-204F9A743821}"/>
              </a:ext>
            </a:extLst>
          </xdr:cNvPr>
          <xdr:cNvGraphicFramePr>
            <a:graphicFrameLocks/>
          </xdr:cNvGraphicFramePr>
        </xdr:nvGraphicFramePr>
        <xdr:xfrm>
          <a:off x="1096819" y="3809999"/>
          <a:ext cx="1731818" cy="128893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3" name="Chart 52">
            <a:extLst>
              <a:ext uri="{FF2B5EF4-FFF2-40B4-BE49-F238E27FC236}">
                <a16:creationId xmlns:a16="http://schemas.microsoft.com/office/drawing/2014/main" id="{BC4315D8-7A07-474C-9346-72828F2B90A9}"/>
              </a:ext>
            </a:extLst>
          </xdr:cNvPr>
          <xdr:cNvGraphicFramePr>
            <a:graphicFrameLocks/>
          </xdr:cNvGraphicFramePr>
        </xdr:nvGraphicFramePr>
        <xdr:xfrm>
          <a:off x="4133273" y="3786909"/>
          <a:ext cx="1604818" cy="1381298"/>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5" name="Graphic 54" descr="Female Profile with solid fill">
            <a:extLst>
              <a:ext uri="{FF2B5EF4-FFF2-40B4-BE49-F238E27FC236}">
                <a16:creationId xmlns:a16="http://schemas.microsoft.com/office/drawing/2014/main" id="{18FAEE2A-63C0-FBE0-2FFB-3C6B116B08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93818" y="3994727"/>
            <a:ext cx="990000" cy="990000"/>
          </a:xfrm>
          <a:prstGeom prst="rect">
            <a:avLst/>
          </a:prstGeom>
        </xdr:spPr>
      </xdr:pic>
      <xdr:pic>
        <xdr:nvPicPr>
          <xdr:cNvPr id="57" name="Graphic 56" descr="Male profile with solid fill">
            <a:extLst>
              <a:ext uri="{FF2B5EF4-FFF2-40B4-BE49-F238E27FC236}">
                <a16:creationId xmlns:a16="http://schemas.microsoft.com/office/drawing/2014/main" id="{34FE9859-3BA1-F924-39DB-898557FDEAD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613727" y="3983182"/>
            <a:ext cx="990000" cy="990000"/>
          </a:xfrm>
          <a:prstGeom prst="rect">
            <a:avLst/>
          </a:prstGeom>
        </xdr:spPr>
      </xdr:pic>
    </xdr:grpSp>
    <xdr:clientData/>
  </xdr:twoCellAnchor>
  <xdr:twoCellAnchor>
    <xdr:from>
      <xdr:col>7</xdr:col>
      <xdr:colOff>473363</xdr:colOff>
      <xdr:row>21</xdr:row>
      <xdr:rowOff>103909</xdr:rowOff>
    </xdr:from>
    <xdr:to>
      <xdr:col>8</xdr:col>
      <xdr:colOff>369454</xdr:colOff>
      <xdr:row>23</xdr:row>
      <xdr:rowOff>138546</xdr:rowOff>
    </xdr:to>
    <xdr:sp macro="" textlink="Sheet1!$B$9">
      <xdr:nvSpPr>
        <xdr:cNvPr id="58" name="TextBox 57">
          <a:extLst>
            <a:ext uri="{FF2B5EF4-FFF2-40B4-BE49-F238E27FC236}">
              <a16:creationId xmlns:a16="http://schemas.microsoft.com/office/drawing/2014/main" id="{E5DAA10D-0FFE-94BA-9E48-EDD6A5F1E8B0}"/>
            </a:ext>
          </a:extLst>
        </xdr:cNvPr>
        <xdr:cNvSpPr txBox="1"/>
      </xdr:nvSpPr>
      <xdr:spPr>
        <a:xfrm>
          <a:off x="4756727" y="3983182"/>
          <a:ext cx="508000" cy="404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35AB3E-A92E-4972-BD18-667822AD1945}" type="TxLink">
            <a:rPr lang="en-US" sz="1500" b="1" i="0" u="none" strike="noStrike">
              <a:solidFill>
                <a:srgbClr val="000000"/>
              </a:solidFill>
              <a:latin typeface="Calibri"/>
              <a:ea typeface="Calibri"/>
              <a:cs typeface="Calibri"/>
            </a:rPr>
            <a:pPr algn="ctr"/>
            <a:t>882</a:t>
          </a:fld>
          <a:endParaRPr lang="en-IN" sz="1500" b="1"/>
        </a:p>
      </xdr:txBody>
    </xdr:sp>
    <xdr:clientData/>
  </xdr:twoCellAnchor>
  <xdr:twoCellAnchor>
    <xdr:from>
      <xdr:col>2</xdr:col>
      <xdr:colOff>254000</xdr:colOff>
      <xdr:row>13</xdr:row>
      <xdr:rowOff>173181</xdr:rowOff>
    </xdr:from>
    <xdr:to>
      <xdr:col>8</xdr:col>
      <xdr:colOff>369454</xdr:colOff>
      <xdr:row>15</xdr:row>
      <xdr:rowOff>115455</xdr:rowOff>
    </xdr:to>
    <xdr:sp macro="" textlink="">
      <xdr:nvSpPr>
        <xdr:cNvPr id="60" name="TextBox 59">
          <a:extLst>
            <a:ext uri="{FF2B5EF4-FFF2-40B4-BE49-F238E27FC236}">
              <a16:creationId xmlns:a16="http://schemas.microsoft.com/office/drawing/2014/main" id="{AECBDAFD-998A-4C50-276F-857DA257A564}"/>
            </a:ext>
          </a:extLst>
        </xdr:cNvPr>
        <xdr:cNvSpPr txBox="1"/>
      </xdr:nvSpPr>
      <xdr:spPr>
        <a:xfrm>
          <a:off x="1477818" y="2574636"/>
          <a:ext cx="3786909" cy="311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Total Employee by Gender</a:t>
          </a:r>
        </a:p>
      </xdr:txBody>
    </xdr:sp>
    <xdr:clientData/>
  </xdr:twoCellAnchor>
  <xdr:twoCellAnchor editAs="oneCell">
    <xdr:from>
      <xdr:col>4</xdr:col>
      <xdr:colOff>127000</xdr:colOff>
      <xdr:row>16</xdr:row>
      <xdr:rowOff>150092</xdr:rowOff>
    </xdr:from>
    <xdr:to>
      <xdr:col>7</xdr:col>
      <xdr:colOff>120072</xdr:colOff>
      <xdr:row>20</xdr:row>
      <xdr:rowOff>1</xdr:rowOff>
    </xdr:to>
    <mc:AlternateContent xmlns:mc="http://schemas.openxmlformats.org/markup-compatibility/2006" xmlns:a14="http://schemas.microsoft.com/office/drawing/2010/main">
      <mc:Choice Requires="a14">
        <xdr:graphicFrame macro="">
          <xdr:nvGraphicFramePr>
            <xdr:cNvPr id="61" name="Gender 2">
              <a:extLst>
                <a:ext uri="{FF2B5EF4-FFF2-40B4-BE49-F238E27FC236}">
                  <a16:creationId xmlns:a16="http://schemas.microsoft.com/office/drawing/2014/main" id="{D1338E56-F9B8-4BDA-BBE8-8C9EF6A4115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574636" y="3105728"/>
              <a:ext cx="1828800" cy="588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242454</xdr:colOff>
      <xdr:row>16</xdr:row>
      <xdr:rowOff>0</xdr:rowOff>
    </xdr:from>
    <xdr:to>
      <xdr:col>17</xdr:col>
      <xdr:colOff>508000</xdr:colOff>
      <xdr:row>28</xdr:row>
      <xdr:rowOff>34636</xdr:rowOff>
    </xdr:to>
    <xdr:graphicFrame macro="">
      <xdr:nvGraphicFramePr>
        <xdr:cNvPr id="62" name="Chart 61">
          <a:extLst>
            <a:ext uri="{FF2B5EF4-FFF2-40B4-BE49-F238E27FC236}">
              <a16:creationId xmlns:a16="http://schemas.microsoft.com/office/drawing/2014/main" id="{B948805B-5B6C-4CCF-81B7-8BAFABA5E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357909</xdr:colOff>
      <xdr:row>13</xdr:row>
      <xdr:rowOff>173181</xdr:rowOff>
    </xdr:from>
    <xdr:to>
      <xdr:col>17</xdr:col>
      <xdr:colOff>311727</xdr:colOff>
      <xdr:row>15</xdr:row>
      <xdr:rowOff>127000</xdr:rowOff>
    </xdr:to>
    <xdr:sp macro="" textlink="">
      <xdr:nvSpPr>
        <xdr:cNvPr id="63" name="TextBox 62">
          <a:extLst>
            <a:ext uri="{FF2B5EF4-FFF2-40B4-BE49-F238E27FC236}">
              <a16:creationId xmlns:a16="http://schemas.microsoft.com/office/drawing/2014/main" id="{BE4C311F-0DDD-BD2F-550E-908E7CB4EC7A}"/>
            </a:ext>
          </a:extLst>
        </xdr:cNvPr>
        <xdr:cNvSpPr txBox="1"/>
      </xdr:nvSpPr>
      <xdr:spPr>
        <a:xfrm>
          <a:off x="5865091" y="2574636"/>
          <a:ext cx="4849091" cy="32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Education Wise Attrition</a:t>
          </a:r>
        </a:p>
        <a:p>
          <a:endParaRPr lang="en-IN" sz="1800" b="1">
            <a:solidFill>
              <a:srgbClr val="602928"/>
            </a:solidFill>
          </a:endParaRPr>
        </a:p>
      </xdr:txBody>
    </xdr:sp>
    <xdr:clientData/>
  </xdr:twoCellAnchor>
  <xdr:twoCellAnchor>
    <xdr:from>
      <xdr:col>18</xdr:col>
      <xdr:colOff>115454</xdr:colOff>
      <xdr:row>16</xdr:row>
      <xdr:rowOff>57729</xdr:rowOff>
    </xdr:from>
    <xdr:to>
      <xdr:col>25</xdr:col>
      <xdr:colOff>484909</xdr:colOff>
      <xdr:row>27</xdr:row>
      <xdr:rowOff>173183</xdr:rowOff>
    </xdr:to>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A06BC458-BD10-445E-BAD8-1BC74A7C7A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088254" y="2983809"/>
              <a:ext cx="4636655" cy="21271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242454</xdr:colOff>
      <xdr:row>14</xdr:row>
      <xdr:rowOff>0</xdr:rowOff>
    </xdr:from>
    <xdr:to>
      <xdr:col>25</xdr:col>
      <xdr:colOff>404091</xdr:colOff>
      <xdr:row>15</xdr:row>
      <xdr:rowOff>138546</xdr:rowOff>
    </xdr:to>
    <xdr:sp macro="" textlink="">
      <xdr:nvSpPr>
        <xdr:cNvPr id="66" name="TextBox 65">
          <a:extLst>
            <a:ext uri="{FF2B5EF4-FFF2-40B4-BE49-F238E27FC236}">
              <a16:creationId xmlns:a16="http://schemas.microsoft.com/office/drawing/2014/main" id="{8F24E54E-6690-61CF-F53E-CF801E79D688}"/>
            </a:ext>
          </a:extLst>
        </xdr:cNvPr>
        <xdr:cNvSpPr txBox="1"/>
      </xdr:nvSpPr>
      <xdr:spPr>
        <a:xfrm>
          <a:off x="11256818" y="2586182"/>
          <a:ext cx="4445000" cy="32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02928"/>
              </a:solidFill>
            </a:rPr>
            <a:t>Attrition by Job</a:t>
          </a:r>
          <a:r>
            <a:rPr lang="en-IN" sz="2000" b="1" baseline="0">
              <a:solidFill>
                <a:srgbClr val="602928"/>
              </a:solidFill>
            </a:rPr>
            <a:t> Role</a:t>
          </a:r>
          <a:endParaRPr lang="en-IN" sz="2000" b="1">
            <a:solidFill>
              <a:srgbClr val="602928"/>
            </a:solidFill>
          </a:endParaRPr>
        </a:p>
      </xdr:txBody>
    </xdr:sp>
    <xdr:clientData/>
  </xdr:twoCellAnchor>
  <xdr:twoCellAnchor>
    <xdr:from>
      <xdr:col>2</xdr:col>
      <xdr:colOff>265545</xdr:colOff>
      <xdr:row>30</xdr:row>
      <xdr:rowOff>161637</xdr:rowOff>
    </xdr:from>
    <xdr:to>
      <xdr:col>9</xdr:col>
      <xdr:colOff>11544</xdr:colOff>
      <xdr:row>42</xdr:row>
      <xdr:rowOff>103909</xdr:rowOff>
    </xdr:to>
    <xdr:graphicFrame macro="">
      <xdr:nvGraphicFramePr>
        <xdr:cNvPr id="68" name="Chart 67">
          <a:extLst>
            <a:ext uri="{FF2B5EF4-FFF2-40B4-BE49-F238E27FC236}">
              <a16:creationId xmlns:a16="http://schemas.microsoft.com/office/drawing/2014/main" id="{EA0129B0-21CE-44EF-B872-64922AA66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207818</xdr:colOff>
      <xdr:row>28</xdr:row>
      <xdr:rowOff>138545</xdr:rowOff>
    </xdr:from>
    <xdr:to>
      <xdr:col>8</xdr:col>
      <xdr:colOff>565727</xdr:colOff>
      <xdr:row>30</xdr:row>
      <xdr:rowOff>92364</xdr:rowOff>
    </xdr:to>
    <xdr:sp macro="" textlink="">
      <xdr:nvSpPr>
        <xdr:cNvPr id="69" name="TextBox 68">
          <a:extLst>
            <a:ext uri="{FF2B5EF4-FFF2-40B4-BE49-F238E27FC236}">
              <a16:creationId xmlns:a16="http://schemas.microsoft.com/office/drawing/2014/main" id="{581D685C-8E58-49FA-26CF-F28EE90A7F63}"/>
            </a:ext>
          </a:extLst>
        </xdr:cNvPr>
        <xdr:cNvSpPr txBox="1"/>
      </xdr:nvSpPr>
      <xdr:spPr>
        <a:xfrm>
          <a:off x="1431636" y="5310909"/>
          <a:ext cx="4029364" cy="32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Department Wise Attrition</a:t>
          </a:r>
        </a:p>
      </xdr:txBody>
    </xdr:sp>
    <xdr:clientData/>
  </xdr:twoCellAnchor>
  <xdr:twoCellAnchor>
    <xdr:from>
      <xdr:col>9</xdr:col>
      <xdr:colOff>230909</xdr:colOff>
      <xdr:row>30</xdr:row>
      <xdr:rowOff>173182</xdr:rowOff>
    </xdr:from>
    <xdr:to>
      <xdr:col>15</xdr:col>
      <xdr:colOff>334819</xdr:colOff>
      <xdr:row>42</xdr:row>
      <xdr:rowOff>115222</xdr:rowOff>
    </xdr:to>
    <xdr:graphicFrame macro="">
      <xdr:nvGraphicFramePr>
        <xdr:cNvPr id="70" name="Chart 69">
          <a:extLst>
            <a:ext uri="{FF2B5EF4-FFF2-40B4-BE49-F238E27FC236}">
              <a16:creationId xmlns:a16="http://schemas.microsoft.com/office/drawing/2014/main" id="{7E204221-219D-4E43-8BC2-D77317E62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369454</xdr:colOff>
      <xdr:row>28</xdr:row>
      <xdr:rowOff>138545</xdr:rowOff>
    </xdr:from>
    <xdr:to>
      <xdr:col>15</xdr:col>
      <xdr:colOff>103909</xdr:colOff>
      <xdr:row>30</xdr:row>
      <xdr:rowOff>80818</xdr:rowOff>
    </xdr:to>
    <xdr:sp macro="" textlink="">
      <xdr:nvSpPr>
        <xdr:cNvPr id="71" name="TextBox 70">
          <a:extLst>
            <a:ext uri="{FF2B5EF4-FFF2-40B4-BE49-F238E27FC236}">
              <a16:creationId xmlns:a16="http://schemas.microsoft.com/office/drawing/2014/main" id="{ED3DFEF0-7B48-60F0-DC91-6986F64DEC77}"/>
            </a:ext>
          </a:extLst>
        </xdr:cNvPr>
        <xdr:cNvSpPr txBox="1"/>
      </xdr:nvSpPr>
      <xdr:spPr>
        <a:xfrm>
          <a:off x="5876636" y="5310909"/>
          <a:ext cx="3405909"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Attrition</a:t>
          </a:r>
          <a:r>
            <a:rPr lang="en-IN" sz="1800" b="1" baseline="0">
              <a:solidFill>
                <a:srgbClr val="602928"/>
              </a:solidFill>
            </a:rPr>
            <a:t> by Age Group</a:t>
          </a:r>
          <a:endParaRPr lang="en-IN" sz="1800" b="1">
            <a:solidFill>
              <a:srgbClr val="602928"/>
            </a:solidFill>
          </a:endParaRPr>
        </a:p>
      </xdr:txBody>
    </xdr:sp>
    <xdr:clientData/>
  </xdr:twoCellAnchor>
  <xdr:twoCellAnchor>
    <xdr:from>
      <xdr:col>15</xdr:col>
      <xdr:colOff>554183</xdr:colOff>
      <xdr:row>30</xdr:row>
      <xdr:rowOff>173182</xdr:rowOff>
    </xdr:from>
    <xdr:to>
      <xdr:col>20</xdr:col>
      <xdr:colOff>496455</xdr:colOff>
      <xdr:row>42</xdr:row>
      <xdr:rowOff>34638</xdr:rowOff>
    </xdr:to>
    <mc:AlternateContent xmlns:mc="http://schemas.openxmlformats.org/markup-compatibility/2006">
      <mc:Choice xmlns:cx2="http://schemas.microsoft.com/office/drawing/2015/10/21/chartex" Requires="cx2">
        <xdr:graphicFrame macro="">
          <xdr:nvGraphicFramePr>
            <xdr:cNvPr id="72" name="Chart 71">
              <a:extLst>
                <a:ext uri="{FF2B5EF4-FFF2-40B4-BE49-F238E27FC236}">
                  <a16:creationId xmlns:a16="http://schemas.microsoft.com/office/drawing/2014/main" id="{4018AACA-2C98-4247-BFAC-5B0F002FFD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698183" y="5659582"/>
              <a:ext cx="2990272" cy="20560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127000</xdr:colOff>
      <xdr:row>28</xdr:row>
      <xdr:rowOff>127000</xdr:rowOff>
    </xdr:from>
    <xdr:to>
      <xdr:col>20</xdr:col>
      <xdr:colOff>438727</xdr:colOff>
      <xdr:row>30</xdr:row>
      <xdr:rowOff>80818</xdr:rowOff>
    </xdr:to>
    <xdr:sp macro="" textlink="">
      <xdr:nvSpPr>
        <xdr:cNvPr id="73" name="TextBox 72">
          <a:extLst>
            <a:ext uri="{FF2B5EF4-FFF2-40B4-BE49-F238E27FC236}">
              <a16:creationId xmlns:a16="http://schemas.microsoft.com/office/drawing/2014/main" id="{5D997B53-1748-7A91-EA59-C41F70AF301D}"/>
            </a:ext>
          </a:extLst>
        </xdr:cNvPr>
        <xdr:cNvSpPr txBox="1"/>
      </xdr:nvSpPr>
      <xdr:spPr>
        <a:xfrm>
          <a:off x="9917545" y="5299364"/>
          <a:ext cx="2759364" cy="323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602928"/>
              </a:solidFill>
            </a:rPr>
            <a:t>Attrition by Marital Status</a:t>
          </a:r>
        </a:p>
      </xdr:txBody>
    </xdr:sp>
    <xdr:clientData/>
  </xdr:twoCellAnchor>
  <xdr:twoCellAnchor editAs="oneCell">
    <xdr:from>
      <xdr:col>24</xdr:col>
      <xdr:colOff>0</xdr:colOff>
      <xdr:row>32</xdr:row>
      <xdr:rowOff>150091</xdr:rowOff>
    </xdr:from>
    <xdr:to>
      <xdr:col>25</xdr:col>
      <xdr:colOff>496455</xdr:colOff>
      <xdr:row>38</xdr:row>
      <xdr:rowOff>173182</xdr:rowOff>
    </xdr:to>
    <mc:AlternateContent xmlns:mc="http://schemas.openxmlformats.org/markup-compatibility/2006" xmlns:a14="http://schemas.microsoft.com/office/drawing/2010/main">
      <mc:Choice Requires="a14">
        <xdr:graphicFrame macro="">
          <xdr:nvGraphicFramePr>
            <xdr:cNvPr id="74" name="Department 1">
              <a:extLst>
                <a:ext uri="{FF2B5EF4-FFF2-40B4-BE49-F238E27FC236}">
                  <a16:creationId xmlns:a16="http://schemas.microsoft.com/office/drawing/2014/main" id="{40FBDD97-8962-4EE6-88E0-A6D2ABD4E12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685818" y="6061364"/>
              <a:ext cx="1108364" cy="1131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150090</xdr:colOff>
      <xdr:row>32</xdr:row>
      <xdr:rowOff>92362</xdr:rowOff>
    </xdr:from>
    <xdr:to>
      <xdr:col>23</xdr:col>
      <xdr:colOff>524163</xdr:colOff>
      <xdr:row>42</xdr:row>
      <xdr:rowOff>138546</xdr:rowOff>
    </xdr:to>
    <mc:AlternateContent xmlns:mc="http://schemas.openxmlformats.org/markup-compatibility/2006" xmlns:a14="http://schemas.microsoft.com/office/drawing/2010/main">
      <mc:Choice Requires="a14">
        <xdr:graphicFrame macro="">
          <xdr:nvGraphicFramePr>
            <xdr:cNvPr id="75" name="Education Field 1">
              <a:extLst>
                <a:ext uri="{FF2B5EF4-FFF2-40B4-BE49-F238E27FC236}">
                  <a16:creationId xmlns:a16="http://schemas.microsoft.com/office/drawing/2014/main" id="{B2AA4DCC-3B3F-4D77-8CA4-18526661D5E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000181" y="6003635"/>
              <a:ext cx="1597891" cy="1893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173182</xdr:colOff>
      <xdr:row>31</xdr:row>
      <xdr:rowOff>23091</xdr:rowOff>
    </xdr:from>
    <xdr:to>
      <xdr:col>23</xdr:col>
      <xdr:colOff>392546</xdr:colOff>
      <xdr:row>32</xdr:row>
      <xdr:rowOff>80818</xdr:rowOff>
    </xdr:to>
    <xdr:sp macro="" textlink="">
      <xdr:nvSpPr>
        <xdr:cNvPr id="76" name="TextBox 75">
          <a:extLst>
            <a:ext uri="{FF2B5EF4-FFF2-40B4-BE49-F238E27FC236}">
              <a16:creationId xmlns:a16="http://schemas.microsoft.com/office/drawing/2014/main" id="{F2227DAB-E6CC-09DC-A584-350529F5EBAF}"/>
            </a:ext>
          </a:extLst>
        </xdr:cNvPr>
        <xdr:cNvSpPr txBox="1"/>
      </xdr:nvSpPr>
      <xdr:spPr>
        <a:xfrm>
          <a:off x="13023273" y="5749636"/>
          <a:ext cx="1443182" cy="242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Education Field</a:t>
          </a:r>
        </a:p>
      </xdr:txBody>
    </xdr:sp>
    <xdr:clientData/>
  </xdr:twoCellAnchor>
  <xdr:twoCellAnchor>
    <xdr:from>
      <xdr:col>24</xdr:col>
      <xdr:colOff>92364</xdr:colOff>
      <xdr:row>31</xdr:row>
      <xdr:rowOff>57728</xdr:rowOff>
    </xdr:from>
    <xdr:to>
      <xdr:col>25</xdr:col>
      <xdr:colOff>484909</xdr:colOff>
      <xdr:row>32</xdr:row>
      <xdr:rowOff>150091</xdr:rowOff>
    </xdr:to>
    <xdr:sp macro="" textlink="">
      <xdr:nvSpPr>
        <xdr:cNvPr id="77" name="TextBox 76">
          <a:extLst>
            <a:ext uri="{FF2B5EF4-FFF2-40B4-BE49-F238E27FC236}">
              <a16:creationId xmlns:a16="http://schemas.microsoft.com/office/drawing/2014/main" id="{8751430B-6C06-EA51-7974-5C7B40719BF1}"/>
            </a:ext>
          </a:extLst>
        </xdr:cNvPr>
        <xdr:cNvSpPr txBox="1"/>
      </xdr:nvSpPr>
      <xdr:spPr>
        <a:xfrm>
          <a:off x="14778182" y="5784273"/>
          <a:ext cx="1004454" cy="277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Department</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0.36</cdr:x>
      <cdr:y>0.32247</cdr:y>
    </cdr:from>
    <cdr:to>
      <cdr:x>0.64667</cdr:x>
      <cdr:y>0.64493</cdr:y>
    </cdr:to>
    <cdr:sp macro="" textlink="Sheet1!$B$8">
      <cdr:nvSpPr>
        <cdr:cNvPr id="2" name="TextBox 1">
          <a:extLst xmlns:a="http://schemas.openxmlformats.org/drawingml/2006/main">
            <a:ext uri="{FF2B5EF4-FFF2-40B4-BE49-F238E27FC236}">
              <a16:creationId xmlns:a16="http://schemas.microsoft.com/office/drawing/2014/main" id="{E1584BAE-F210-0717-51FA-F020DDB4999C}"/>
            </a:ext>
          </a:extLst>
        </cdr:cNvPr>
        <cdr:cNvSpPr txBox="1"/>
      </cdr:nvSpPr>
      <cdr:spPr>
        <a:xfrm xmlns:a="http://schemas.openxmlformats.org/drawingml/2006/main">
          <a:off x="623454" y="415637"/>
          <a:ext cx="496454" cy="41563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0F635A07-BC64-46C1-9C34-EE8D1D2C451E}" type="TxLink">
            <a:rPr lang="en-US" sz="1500" b="1" i="0" u="none" strike="noStrike" kern="1200">
              <a:solidFill>
                <a:srgbClr val="000000"/>
              </a:solidFill>
              <a:latin typeface="Calibri"/>
              <a:ea typeface="Calibri"/>
              <a:cs typeface="Calibri"/>
            </a:rPr>
            <a:pPr algn="ctr"/>
            <a:t>588</a:t>
          </a:fld>
          <a:endParaRPr lang="en-IN" sz="15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d" refreshedDate="46189.657693287038" createdVersion="8" refreshedVersion="8" minRefreshableVersion="3" recordCount="1471" xr:uid="{63AF6352-0017-4F67-A46D-B30093101A66}">
  <cacheSource type="worksheet">
    <worksheetSource ref="A1:AR1048576" sheet="Dataset"/>
  </cacheSource>
  <cacheFields count="44">
    <cacheField name="Attrition" numFmtId="0">
      <sharedItems containsBlank="1"/>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240364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r>
    <m/>
    <m/>
    <x v="5"/>
    <m/>
    <x v="3"/>
    <x v="6"/>
    <m/>
    <m/>
    <x v="2"/>
    <x v="9"/>
    <x v="3"/>
    <m/>
    <m/>
    <m/>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05281A-DC7E-4AFB-A3F7-E483EC02009E}"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h="1" x="0"/>
        <item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0"/>
        <item h="1" x="3"/>
        <item h="1" x="4"/>
        <item h="1" x="1"/>
        <item x="2"/>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DFBC2C-0CD0-42CC-8850-B20A60B0B2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B9C17D-689E-45B8-84B9-837C21EB777F}"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7">
        <item x="0"/>
        <item x="3"/>
        <item x="4"/>
        <item x="1"/>
        <item x="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F1F701-1719-4712-B3C5-FF298FEDE5E9}"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pivotField axis="axisRow" showAll="0">
      <items count="11">
        <item x="4"/>
        <item x="8"/>
        <item x="2"/>
        <item x="5"/>
        <item x="3"/>
        <item x="7"/>
        <item x="1"/>
        <item x="0"/>
        <item x="6"/>
        <item h="1" x="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28121C-3FE1-415F-9C59-E7A08F4752A7}"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44">
    <pivotField showAll="0"/>
    <pivotField showAll="0"/>
    <pivotField showAll="0"/>
    <pivotField showAll="0"/>
    <pivotField axis="axisRow"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CF_attrition count" fld="17"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4" count="1" selected="0">
            <x v="0"/>
          </reference>
        </references>
      </pivotArea>
    </chartFormat>
    <chartFormat chart="5" format="7">
      <pivotArea type="data" outline="0" fieldPosition="0">
        <references count="2">
          <reference field="4294967294" count="1" selected="0">
            <x v="0"/>
          </reference>
          <reference field="4" count="1" selected="0">
            <x v="1"/>
          </reference>
        </references>
      </pivotArea>
    </chartFormat>
    <chartFormat chart="5" format="8">
      <pivotArea type="data" outline="0" fieldPosition="0">
        <references count="2">
          <reference field="4294967294" count="1" selected="0">
            <x v="0"/>
          </reference>
          <reference field="4" count="1" selected="0">
            <x v="2"/>
          </reference>
        </references>
      </pivotArea>
    </chartFormat>
    <chartFormat chart="5"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81AEAE-123B-406B-A39C-912FDCC40C5B}"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7">
        <item x="2"/>
        <item x="0"/>
        <item x="1"/>
        <item x="3"/>
        <item x="4"/>
        <item h="1" x="5"/>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5CD325-232E-4AAF-AD3F-34C2DCF15CD2}"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pivotField axis="axisRow" showAll="0" sortType="ascending">
      <items count="5">
        <item x="2"/>
        <item x="1"/>
        <item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B2D3C1-CC23-40B3-9055-D65292BDDA8D}"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dataField="1"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E8E2A5-7768-4CD1-8BB2-D53262532FFF}" sourceName="Gender">
  <pivotTables>
    <pivotTable tabId="5" name="Rating"/>
  </pivotTables>
  <data>
    <tabular pivotCacheId="240364254">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6C89D70-A3A6-4DD0-9262-F5B8B70884E9}" sourceName="Education">
  <pivotTables>
    <pivotTable tabId="5" name="Rating"/>
  </pivotTables>
  <data>
    <tabular pivotCacheId="240364254">
      <items count="6">
        <i x="0"/>
        <i x="3"/>
        <i x="4"/>
        <i x="1"/>
        <i x="2"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9BB4F2F-8E6F-46A4-A95E-C3B6C26B0A73}" sourceName="Gender">
  <pivotTables>
    <pivotTable tabId="6" name="PivotTable1"/>
  </pivotTables>
  <data>
    <tabular pivotCacheId="240364254">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274F313-7B33-49DF-892F-0E798DD3C2A1}" sourceName="Department">
  <pivotTables>
    <pivotTable tabId="3" name="KPI"/>
    <pivotTable tabId="10" name="Attrition by Age group"/>
    <pivotTable tabId="9" name="Dept wise Attrition"/>
    <pivotTable tabId="7" name="Education by Attrition"/>
    <pivotTable tabId="5" name="Rating"/>
    <pivotTable tabId="6" name="PivotTable1"/>
    <pivotTable tabId="8" name="Attrition by job"/>
    <pivotTable tabId="11" name="Marital Status"/>
  </pivotTables>
  <data>
    <tabular pivotCacheId="240364254">
      <items count="4">
        <i x="2" s="1"/>
        <i x="1" s="1"/>
        <i x="0"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267F7C3-7176-4A5F-8AF4-1E9547968D3E}" sourceName="Education Field">
  <pivotTables>
    <pivotTable tabId="3" name="KPI"/>
    <pivotTable tabId="10" name="Attrition by Age group"/>
    <pivotTable tabId="9" name="Dept wise Attrition"/>
    <pivotTable tabId="7" name="Education by Attrition"/>
    <pivotTable tabId="5" name="Rating"/>
    <pivotTable tabId="6" name="PivotTable1"/>
    <pivotTable tabId="8" name="Attrition by job"/>
    <pivotTable tabId="11" name="Marital Status"/>
  </pivotTables>
  <data>
    <tabular pivotCacheId="240364254">
      <items count="7">
        <i x="5" s="1"/>
        <i x="0" s="1"/>
        <i x="3" s="1"/>
        <i x="2" s="1"/>
        <i x="1" s="1"/>
        <i x="4"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DAF2F7A-F842-43A4-898D-6F416A8BBB4B}" cache="Slicer_Gender" caption="Gender" rowHeight="234950"/>
  <slicer name="Education" xr10:uid="{9A47FFF0-5CBD-4C75-B55B-3F62504F80AE}" cache="Slicer_Education" caption="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B294CF7-4610-4F35-B545-C835D2D0FDD3}" cache="Slicer_Gender1"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E665879-73F6-438E-8505-D79AF5C2824E}" cache="Slicer_Department" caption="Department" rowHeight="234950"/>
  <slicer name="Education Field" xr10:uid="{A33E77C5-EA35-4D0C-8E86-46A621CFAAD6}" cache="Slicer_Education_Field"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9D4FF04-B558-4D06-B22C-A3EBB7A7D226}" cache="Slicer_Gender1" caption="Gender" columnCount="2" style="Slicer Style 1" rowHeight="234950"/>
  <slicer name="Department 1" xr10:uid="{B07CBAEE-5208-4AC5-B190-531944875FFF}" cache="Slicer_Department" style="Slicer Style 1" rowHeight="234950"/>
  <slicer name="Education Field 1" xr10:uid="{84222DD1-9B36-402F-9D51-81C9B02FD86F}" cache="Slicer_Education_Fiel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93CE05-82C9-48B6-BB30-E2B135C0F60C}" name="Table_1" displayName="Table_1" ref="A1:AR1471">
  <tableColumns count="44">
    <tableColumn id="1" xr3:uid="{8D71703E-841B-41AC-A174-39974611FE90}" name="Attrition"/>
    <tableColumn id="2" xr3:uid="{BCB0333E-BC26-4F6E-B297-33BB281D5F37}" name="Business Travel"/>
    <tableColumn id="3" xr3:uid="{1BE967B4-FF64-4FBF-8AF8-5A8238949622}" name="CF_age band"/>
    <tableColumn id="4" xr3:uid="{244FB754-3466-43F1-A5D1-22E4E969C00A}" name="CF_attrition label"/>
    <tableColumn id="5" xr3:uid="{A503D468-C292-42FA-A691-DDAB929AFFD2}" name="Department"/>
    <tableColumn id="6" xr3:uid="{FA2AB30D-9754-45E3-8411-71FA4A57BAAA}" name="Education Field"/>
    <tableColumn id="7" xr3:uid="{D050F688-6179-47E5-81F1-2051029E3CD8}" name="emp no"/>
    <tableColumn id="8" xr3:uid="{37169182-F289-4B0E-891E-416828AA889A}" name="Employee Number"/>
    <tableColumn id="9" xr3:uid="{09AEBE86-28B0-4C4C-8496-7E2AEEF40E49}" name="Gender"/>
    <tableColumn id="10" xr3:uid="{FEDA6186-D373-48F3-B4A1-BE61D969AC24}" name="Job Role"/>
    <tableColumn id="11" xr3:uid="{09FA5795-8584-4FC1-BB9C-E727789E1AE2}" name="Marital Status"/>
    <tableColumn id="12" xr3:uid="{D98CBF4E-93C4-40A7-BD96-EF1652D24587}" name="Over Time"/>
    <tableColumn id="13" xr3:uid="{7919EC56-120F-485B-87C4-6FA84F16E2F9}" name="Over18"/>
    <tableColumn id="14" xr3:uid="{C274015E-B913-4240-BEF4-0CADDF72EB32}" name="Training Times Last Year"/>
    <tableColumn id="15" xr3:uid="{F5A6BB8E-6315-4AD0-BC9A-0D2B24506241}" name="-2"/>
    <tableColumn id="16" xr3:uid="{653A9B96-0A44-426A-99C9-29F5605DF5C6}" name="0"/>
    <tableColumn id="17" xr3:uid="{34206541-EE51-49A6-81FE-7E897D93411E}" name="Age"/>
    <tableColumn id="18" xr3:uid="{00DCC220-27FE-4A63-A892-76225AC83854}" name="CF_attrition count"/>
    <tableColumn id="19" xr3:uid="{A747533F-0E17-4C8A-873C-56EB3E265F39}" name="CF_attrition counts"/>
    <tableColumn id="20" xr3:uid="{46D2156F-3946-4449-A0AF-A6DA621914B8}" name="CF_attrition rate"/>
    <tableColumn id="21" xr3:uid="{1BB27AB7-019C-4A8C-B966-EB559AD8D549}" name="CF_current Employee"/>
    <tableColumn id="22" xr3:uid="{2F188C5E-060B-4520-B1C1-C055F9DA3DBB}" name="Daily Rate"/>
    <tableColumn id="23" xr3:uid="{BF1AC0EE-C539-4B76-B73E-01B9677CAFF6}" name="Distance From Home"/>
    <tableColumn id="24" xr3:uid="{D2B8C666-F1B4-42FE-A105-22E0DEB1883F}" name="Education"/>
    <tableColumn id="25" xr3:uid="{21BE6DF7-0760-478B-949D-D9B6026DD54B}" name="Employee Count"/>
    <tableColumn id="26" xr3:uid="{01CD30AF-4A59-4F19-A75D-22077A74F3F8}" name="Environment Satisfaction"/>
    <tableColumn id="27" xr3:uid="{12E41679-C342-44A2-860E-6438651CD5EA}" name="Hourly Rate"/>
    <tableColumn id="28" xr3:uid="{39328913-D3AB-4AE3-894D-8FF636926A9C}" name="Job Involvement"/>
    <tableColumn id="29" xr3:uid="{7D83DD29-225E-4AF5-82C9-B2BA1359DE35}" name="Job Level"/>
    <tableColumn id="30" xr3:uid="{32D92E4A-F471-4B6B-8448-E5D840C5FBB8}" name="Job Satisfaction"/>
    <tableColumn id="31" xr3:uid="{686137A9-548D-4AC5-ABF3-C333D3569359}" name="Monthly Income"/>
    <tableColumn id="32" xr3:uid="{EA9F929D-E3B3-4086-B469-A8D02CF59DE2}" name="Monthly Rate"/>
    <tableColumn id="33" xr3:uid="{CED94623-883A-4666-B6E0-37D9F82B1548}" name="Num Companies Worked"/>
    <tableColumn id="34" xr3:uid="{0D2DA081-B924-4F88-938B-18F73B72766F}" name="Percent Salary Hike"/>
    <tableColumn id="35" xr3:uid="{53D57151-2586-431C-95DA-9D805A550D1C}" name="Performance Rating"/>
    <tableColumn id="36" xr3:uid="{E5EF159F-85A0-45D6-B5FA-62175ECBDF66}" name="Relationship Satisfaction"/>
    <tableColumn id="37" xr3:uid="{F5644F01-9F22-4065-A9C5-324564474BAB}" name="Standard Hours"/>
    <tableColumn id="38" xr3:uid="{D4B14512-1F16-4A4F-9CB2-FE283E7B0CD6}" name="Stock Option Level"/>
    <tableColumn id="39" xr3:uid="{CA70BCC2-1E4F-40FD-AC6B-BC62A7432D91}" name="Total Working Years"/>
    <tableColumn id="40" xr3:uid="{2D6DE6C5-24A7-4051-8A23-B679F567374E}" name="Work Life Balance"/>
    <tableColumn id="41" xr3:uid="{2D59941B-C76A-4378-80BB-16887ED8B0C0}" name="Years At Company"/>
    <tableColumn id="42" xr3:uid="{74433C0E-06E6-4B48-B313-8D94FCF5938E}" name="Years In Current Role"/>
    <tableColumn id="43" xr3:uid="{5EB17BEF-F3F3-4E7B-B1EC-6C00BAD8BFA7}" name="Years Since Last Promotion"/>
    <tableColumn id="44" xr3:uid="{A63F4DA9-8A58-41DC-BEA5-592E4EF7BBFB}" name="Years With Curr Manager"/>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B82A-C231-49BF-8806-013C70C1CDA1}">
  <dimension ref="A3:C7"/>
  <sheetViews>
    <sheetView workbookViewId="0">
      <selection activeCell="A4" sqref="A4"/>
    </sheetView>
  </sheetViews>
  <sheetFormatPr defaultRowHeight="14.4" x14ac:dyDescent="0.3"/>
  <cols>
    <col min="1" max="1" width="24" bestFit="1" customWidth="1"/>
  </cols>
  <sheetData>
    <row r="3" spans="1:3" x14ac:dyDescent="0.3">
      <c r="A3" t="s">
        <v>1562</v>
      </c>
    </row>
    <row r="4" spans="1:3" x14ac:dyDescent="0.3">
      <c r="A4" s="2">
        <v>2.627049180327869</v>
      </c>
    </row>
    <row r="6" spans="1:3" x14ac:dyDescent="0.3">
      <c r="A6" t="s">
        <v>1563</v>
      </c>
      <c r="B6" s="2">
        <f>GETPIVOTDATA("Job Satisfaction",$A$3)</f>
        <v>2.627049180327869</v>
      </c>
      <c r="C6">
        <f>B6/4</f>
        <v>0.65676229508196726</v>
      </c>
    </row>
    <row r="7" spans="1:3" x14ac:dyDescent="0.3">
      <c r="A7" t="s">
        <v>1564</v>
      </c>
      <c r="B7" s="2">
        <f>4-B6</f>
        <v>1.372950819672131</v>
      </c>
      <c r="C7">
        <f>B7/4</f>
        <v>0.34323770491803274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B599-67D3-4233-B8A0-7070A13E06FA}">
  <dimension ref="A3:C9"/>
  <sheetViews>
    <sheetView topLeftCell="E1" workbookViewId="0">
      <selection activeCell="C8" sqref="C8:C9"/>
    </sheetView>
  </sheetViews>
  <sheetFormatPr defaultRowHeight="14.4" x14ac:dyDescent="0.3"/>
  <cols>
    <col min="1" max="1" width="12.5546875" bestFit="1" customWidth="1"/>
    <col min="2" max="2" width="21.6640625" bestFit="1" customWidth="1"/>
  </cols>
  <sheetData>
    <row r="3" spans="1:3" x14ac:dyDescent="0.3">
      <c r="A3" s="5" t="s">
        <v>1565</v>
      </c>
      <c r="B3" t="s">
        <v>1568</v>
      </c>
    </row>
    <row r="4" spans="1:3" x14ac:dyDescent="0.3">
      <c r="A4" s="6" t="s">
        <v>51</v>
      </c>
      <c r="B4">
        <v>588</v>
      </c>
    </row>
    <row r="5" spans="1:3" x14ac:dyDescent="0.3">
      <c r="A5" s="6" t="s">
        <v>62</v>
      </c>
      <c r="B5">
        <v>882</v>
      </c>
    </row>
    <row r="6" spans="1:3" x14ac:dyDescent="0.3">
      <c r="A6" s="6" t="s">
        <v>1566</v>
      </c>
    </row>
    <row r="7" spans="1:3" x14ac:dyDescent="0.3">
      <c r="A7" s="6" t="s">
        <v>1567</v>
      </c>
      <c r="B7">
        <v>1470</v>
      </c>
    </row>
    <row r="8" spans="1:3" x14ac:dyDescent="0.3">
      <c r="A8" s="6" t="s">
        <v>51</v>
      </c>
      <c r="B8">
        <f>IFERROR(GETPIVOTDATA("Employee Count",$A$3,"Gender","Female"),0)</f>
        <v>588</v>
      </c>
      <c r="C8" s="4">
        <f>IFERROR(B8/($B$8+$B$9),0)</f>
        <v>0.4</v>
      </c>
    </row>
    <row r="9" spans="1:3" x14ac:dyDescent="0.3">
      <c r="A9" s="6" t="s">
        <v>62</v>
      </c>
      <c r="B9">
        <f>IFERROR(GETPIVOTDATA("Employee Count",$A$3,"Gender","Male"),0)</f>
        <v>882</v>
      </c>
      <c r="C9" s="4">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ABC61-235F-41A9-B032-19EA8E6AD49A}">
  <dimension ref="A3:B9"/>
  <sheetViews>
    <sheetView workbookViewId="0">
      <selection activeCell="F8" sqref="F8"/>
    </sheetView>
  </sheetViews>
  <sheetFormatPr defaultRowHeight="14.4" x14ac:dyDescent="0.3"/>
  <cols>
    <col min="1" max="1" width="15.88671875" bestFit="1" customWidth="1"/>
    <col min="2" max="2" width="23.6640625" bestFit="1" customWidth="1"/>
  </cols>
  <sheetData>
    <row r="3" spans="1:2" x14ac:dyDescent="0.3">
      <c r="A3" s="5" t="s">
        <v>1565</v>
      </c>
      <c r="B3" t="s">
        <v>1569</v>
      </c>
    </row>
    <row r="4" spans="1:2" x14ac:dyDescent="0.3">
      <c r="A4" s="6" t="s">
        <v>134</v>
      </c>
      <c r="B4">
        <v>5</v>
      </c>
    </row>
    <row r="5" spans="1:2" x14ac:dyDescent="0.3">
      <c r="A5" s="6" t="s">
        <v>65</v>
      </c>
      <c r="B5">
        <v>31</v>
      </c>
    </row>
    <row r="6" spans="1:2" x14ac:dyDescent="0.3">
      <c r="A6" s="6" t="s">
        <v>55</v>
      </c>
      <c r="B6">
        <v>44</v>
      </c>
    </row>
    <row r="7" spans="1:2" x14ac:dyDescent="0.3">
      <c r="A7" s="6" t="s">
        <v>71</v>
      </c>
      <c r="B7">
        <v>58</v>
      </c>
    </row>
    <row r="8" spans="1:2" x14ac:dyDescent="0.3">
      <c r="A8" s="6" t="s">
        <v>77</v>
      </c>
      <c r="B8">
        <v>99</v>
      </c>
    </row>
    <row r="9" spans="1:2" x14ac:dyDescent="0.3">
      <c r="A9" s="6" t="s">
        <v>1567</v>
      </c>
      <c r="B9">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D5E3D-211D-44B4-87E8-4F6ADFE40485}">
  <dimension ref="A3:E13"/>
  <sheetViews>
    <sheetView workbookViewId="0">
      <selection activeCell="A16" sqref="A16"/>
    </sheetView>
  </sheetViews>
  <sheetFormatPr defaultRowHeight="14.4" x14ac:dyDescent="0.3"/>
  <cols>
    <col min="1" max="1" width="22.88671875" bestFit="1" customWidth="1"/>
    <col min="2" max="2" width="23.6640625" bestFit="1" customWidth="1"/>
    <col min="4" max="4" width="22.88671875" bestFit="1" customWidth="1"/>
  </cols>
  <sheetData>
    <row r="3" spans="1:5" x14ac:dyDescent="0.3">
      <c r="A3" s="5" t="s">
        <v>1565</v>
      </c>
      <c r="B3" t="s">
        <v>1569</v>
      </c>
      <c r="D3" t="s">
        <v>9</v>
      </c>
      <c r="E3" t="s">
        <v>0</v>
      </c>
    </row>
    <row r="4" spans="1:5" x14ac:dyDescent="0.3">
      <c r="A4" s="6" t="s">
        <v>83</v>
      </c>
      <c r="B4">
        <v>9</v>
      </c>
      <c r="D4" t="str">
        <f>A4</f>
        <v>Healthcare Representative</v>
      </c>
      <c r="E4">
        <f>GETPIVOTDATA("CF_attrition counts",$A$3,"Job Role",A4)</f>
        <v>9</v>
      </c>
    </row>
    <row r="5" spans="1:5" x14ac:dyDescent="0.3">
      <c r="A5" s="6" t="s">
        <v>163</v>
      </c>
      <c r="B5">
        <v>12</v>
      </c>
      <c r="D5" t="str">
        <f t="shared" ref="D5:D12" si="0">A5</f>
        <v>Human Resources</v>
      </c>
      <c r="E5">
        <f t="shared" ref="E5:E12" si="1">GETPIVOTDATA("CF_attrition counts",$A$3,"Job Role",A5)</f>
        <v>12</v>
      </c>
    </row>
    <row r="6" spans="1:5" x14ac:dyDescent="0.3">
      <c r="A6" s="6" t="s">
        <v>68</v>
      </c>
      <c r="B6">
        <v>62</v>
      </c>
      <c r="D6" t="str">
        <f t="shared" si="0"/>
        <v>Laboratory Technician</v>
      </c>
      <c r="E6">
        <f t="shared" si="1"/>
        <v>62</v>
      </c>
    </row>
    <row r="7" spans="1:5" x14ac:dyDescent="0.3">
      <c r="A7" s="6" t="s">
        <v>95</v>
      </c>
      <c r="B7">
        <v>5</v>
      </c>
      <c r="D7" t="str">
        <f t="shared" si="0"/>
        <v>Manager</v>
      </c>
      <c r="E7">
        <f t="shared" si="1"/>
        <v>5</v>
      </c>
    </row>
    <row r="8" spans="1:5" x14ac:dyDescent="0.3">
      <c r="A8" s="6" t="s">
        <v>81</v>
      </c>
      <c r="B8">
        <v>10</v>
      </c>
      <c r="D8" t="str">
        <f t="shared" si="0"/>
        <v>Manufacturing Director</v>
      </c>
      <c r="E8">
        <f t="shared" si="1"/>
        <v>10</v>
      </c>
    </row>
    <row r="9" spans="1:5" x14ac:dyDescent="0.3">
      <c r="A9" s="6" t="s">
        <v>101</v>
      </c>
      <c r="B9">
        <v>2</v>
      </c>
      <c r="D9" t="str">
        <f t="shared" si="0"/>
        <v>Research Director</v>
      </c>
      <c r="E9">
        <f t="shared" si="1"/>
        <v>2</v>
      </c>
    </row>
    <row r="10" spans="1:5" x14ac:dyDescent="0.3">
      <c r="A10" s="6" t="s">
        <v>63</v>
      </c>
      <c r="B10">
        <v>47</v>
      </c>
      <c r="D10" t="str">
        <f t="shared" si="0"/>
        <v>Research Scientist</v>
      </c>
      <c r="E10">
        <f t="shared" si="1"/>
        <v>47</v>
      </c>
    </row>
    <row r="11" spans="1:5" x14ac:dyDescent="0.3">
      <c r="A11" s="6" t="s">
        <v>52</v>
      </c>
      <c r="B11">
        <v>57</v>
      </c>
      <c r="D11" t="str">
        <f t="shared" si="0"/>
        <v>Sales Executive</v>
      </c>
      <c r="E11">
        <f t="shared" si="1"/>
        <v>57</v>
      </c>
    </row>
    <row r="12" spans="1:5" x14ac:dyDescent="0.3">
      <c r="A12" s="6" t="s">
        <v>99</v>
      </c>
      <c r="B12">
        <v>33</v>
      </c>
      <c r="D12" t="str">
        <f t="shared" si="0"/>
        <v>Sales Representative</v>
      </c>
      <c r="E12">
        <f t="shared" si="1"/>
        <v>33</v>
      </c>
    </row>
    <row r="13" spans="1:5" x14ac:dyDescent="0.3">
      <c r="A13" s="6" t="s">
        <v>1567</v>
      </c>
      <c r="B1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ED952-58D0-471A-BE77-7A569B62B938}">
  <dimension ref="A3:B8"/>
  <sheetViews>
    <sheetView workbookViewId="0">
      <selection activeCell="H10" sqref="H10"/>
    </sheetView>
  </sheetViews>
  <sheetFormatPr defaultRowHeight="14.4" x14ac:dyDescent="0.3"/>
  <cols>
    <col min="1" max="1" width="12.5546875" bestFit="1" customWidth="1"/>
    <col min="2" max="2" width="22.88671875" bestFit="1" customWidth="1"/>
  </cols>
  <sheetData>
    <row r="3" spans="1:2" x14ac:dyDescent="0.3">
      <c r="A3" s="5" t="s">
        <v>1565</v>
      </c>
      <c r="B3" t="s">
        <v>1555</v>
      </c>
    </row>
    <row r="4" spans="1:2" x14ac:dyDescent="0.3">
      <c r="A4" s="6" t="s">
        <v>161</v>
      </c>
      <c r="B4" s="7">
        <v>5.0632911392405063E-2</v>
      </c>
    </row>
    <row r="5" spans="1:2" x14ac:dyDescent="0.3">
      <c r="A5" s="6" t="s">
        <v>60</v>
      </c>
      <c r="B5" s="7">
        <v>0.56118143459915615</v>
      </c>
    </row>
    <row r="6" spans="1:2" x14ac:dyDescent="0.3">
      <c r="A6" s="6" t="s">
        <v>48</v>
      </c>
      <c r="B6" s="7">
        <v>0.3881856540084388</v>
      </c>
    </row>
    <row r="7" spans="1:2" x14ac:dyDescent="0.3">
      <c r="A7" s="6" t="s">
        <v>1566</v>
      </c>
      <c r="B7" s="7">
        <v>0</v>
      </c>
    </row>
    <row r="8" spans="1:2" x14ac:dyDescent="0.3">
      <c r="A8" s="6" t="s">
        <v>1567</v>
      </c>
      <c r="B8" s="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A61E2-51F4-404E-868C-A1BBF12A8639}">
  <dimension ref="A3:B9"/>
  <sheetViews>
    <sheetView workbookViewId="0">
      <selection activeCell="H5" sqref="H5"/>
    </sheetView>
  </sheetViews>
  <sheetFormatPr defaultRowHeight="14.4" x14ac:dyDescent="0.3"/>
  <cols>
    <col min="1" max="1" width="12.5546875" bestFit="1" customWidth="1"/>
    <col min="2" max="2" width="22.88671875" bestFit="1" customWidth="1"/>
  </cols>
  <sheetData>
    <row r="3" spans="1:2" x14ac:dyDescent="0.3">
      <c r="A3" s="5" t="s">
        <v>1565</v>
      </c>
      <c r="B3" t="s">
        <v>1555</v>
      </c>
    </row>
    <row r="4" spans="1:2" x14ac:dyDescent="0.3">
      <c r="A4" s="6" t="s">
        <v>69</v>
      </c>
      <c r="B4">
        <v>112</v>
      </c>
    </row>
    <row r="5" spans="1:2" x14ac:dyDescent="0.3">
      <c r="A5" s="6" t="s">
        <v>46</v>
      </c>
      <c r="B5">
        <v>51</v>
      </c>
    </row>
    <row r="6" spans="1:2" x14ac:dyDescent="0.3">
      <c r="A6" s="6" t="s">
        <v>92</v>
      </c>
      <c r="B6">
        <v>38</v>
      </c>
    </row>
    <row r="7" spans="1:2" x14ac:dyDescent="0.3">
      <c r="A7" s="6" t="s">
        <v>58</v>
      </c>
      <c r="B7">
        <v>25</v>
      </c>
    </row>
    <row r="8" spans="1:2" x14ac:dyDescent="0.3">
      <c r="A8" s="6" t="s">
        <v>75</v>
      </c>
      <c r="B8">
        <v>11</v>
      </c>
    </row>
    <row r="9" spans="1:2" x14ac:dyDescent="0.3">
      <c r="A9" s="6" t="s">
        <v>1567</v>
      </c>
      <c r="B9">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792E-B66B-437C-A217-9FD2AA2F2553}">
  <dimension ref="A3:E7"/>
  <sheetViews>
    <sheetView workbookViewId="0">
      <selection activeCell="B5" sqref="B5"/>
    </sheetView>
  </sheetViews>
  <sheetFormatPr defaultRowHeight="14.4" x14ac:dyDescent="0.3"/>
  <cols>
    <col min="1" max="1" width="12.5546875" bestFit="1" customWidth="1"/>
    <col min="2" max="2" width="15.88671875" bestFit="1" customWidth="1"/>
    <col min="4" max="4" width="12.21875" bestFit="1" customWidth="1"/>
  </cols>
  <sheetData>
    <row r="3" spans="1:5" x14ac:dyDescent="0.3">
      <c r="A3" s="5" t="s">
        <v>1565</v>
      </c>
      <c r="B3" t="s">
        <v>1570</v>
      </c>
      <c r="D3" t="s">
        <v>1571</v>
      </c>
      <c r="E3" t="s">
        <v>0</v>
      </c>
    </row>
    <row r="4" spans="1:5" x14ac:dyDescent="0.3">
      <c r="A4" s="6" t="s">
        <v>79</v>
      </c>
      <c r="B4">
        <v>327</v>
      </c>
      <c r="D4" t="str">
        <f>A4</f>
        <v>Divorced</v>
      </c>
      <c r="E4">
        <f>GETPIVOTDATA("Attrition",$A$3,"Marital Status","Divorced")</f>
        <v>327</v>
      </c>
    </row>
    <row r="5" spans="1:5" x14ac:dyDescent="0.3">
      <c r="A5" s="6" t="s">
        <v>53</v>
      </c>
      <c r="B5">
        <v>470</v>
      </c>
      <c r="D5" t="str">
        <f>A5</f>
        <v>Single</v>
      </c>
      <c r="E5">
        <f>GETPIVOTDATA("Attrition",$A$3,"Marital Status","Single")</f>
        <v>470</v>
      </c>
    </row>
    <row r="6" spans="1:5" x14ac:dyDescent="0.3">
      <c r="A6" s="6" t="s">
        <v>64</v>
      </c>
      <c r="B6">
        <v>673</v>
      </c>
      <c r="D6" t="str">
        <f>A6</f>
        <v>Married</v>
      </c>
      <c r="E6">
        <f>GETPIVOTDATA("Attrition",$A$3,"Marital Status","Married")</f>
        <v>673</v>
      </c>
    </row>
    <row r="7" spans="1:5" x14ac:dyDescent="0.3">
      <c r="A7" s="6" t="s">
        <v>1567</v>
      </c>
      <c r="B7">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32E8-8FC8-4FAA-8D61-64ACDF3C1350}">
  <dimension ref="A1:AR1471"/>
  <sheetViews>
    <sheetView workbookViewId="0">
      <selection sqref="A1:XFD1048576"/>
    </sheetView>
  </sheetViews>
  <sheetFormatPr defaultColWidth="12.44140625" defaultRowHeight="14.4" x14ac:dyDescent="0.3"/>
  <cols>
    <col min="1" max="1" width="10.88671875" customWidth="1"/>
    <col min="2" max="2" width="17.109375" customWidth="1"/>
    <col min="3" max="3" width="14.77734375" customWidth="1"/>
    <col min="4" max="4" width="19.5546875" customWidth="1"/>
    <col min="5" max="5" width="14.21875" customWidth="1"/>
    <col min="6" max="6" width="17.109375" customWidth="1"/>
    <col min="7" max="7" width="10" customWidth="1"/>
    <col min="8" max="8" width="20.109375" customWidth="1"/>
    <col min="9" max="9" width="9.5546875" customWidth="1"/>
    <col min="10" max="10" width="25.88671875" customWidth="1"/>
    <col min="11" max="11" width="16" customWidth="1"/>
    <col min="13" max="13" width="9.5546875" customWidth="1"/>
    <col min="14" max="14" width="25.33203125" customWidth="1"/>
    <col min="15" max="17" width="9.5546875" customWidth="1"/>
    <col min="18" max="18" width="19.88671875" customWidth="1"/>
    <col min="19" max="19" width="20.77734375" customWidth="1"/>
    <col min="20" max="20" width="18.21875" customWidth="1"/>
    <col min="21" max="21" width="22.6640625" customWidth="1"/>
    <col min="22" max="22" width="12.33203125" customWidth="1"/>
    <col min="23" max="23" width="22.33203125" customWidth="1"/>
    <col min="24" max="24" width="17.77734375" customWidth="1"/>
    <col min="25" max="25" width="18.21875" customWidth="1"/>
    <col min="26" max="26" width="26.21875" customWidth="1"/>
    <col min="27" max="27" width="13.77734375" customWidth="1"/>
    <col min="28" max="28" width="18.21875" customWidth="1"/>
    <col min="29" max="29" width="11.33203125" customWidth="1"/>
    <col min="30" max="30" width="17.44140625" customWidth="1"/>
    <col min="31" max="31" width="18.109375" customWidth="1"/>
    <col min="32" max="32" width="15.5546875" customWidth="1"/>
    <col min="33" max="33" width="26.21875" customWidth="1"/>
    <col min="34" max="34" width="20.88671875" customWidth="1"/>
    <col min="35" max="35" width="21.21875" customWidth="1"/>
    <col min="36" max="36" width="25.88671875" customWidth="1"/>
    <col min="37" max="37" width="17.44140625" customWidth="1"/>
    <col min="38" max="38" width="20.21875" customWidth="1"/>
    <col min="39" max="39" width="21.5546875" customWidth="1"/>
    <col min="40" max="40" width="19.5546875" customWidth="1"/>
    <col min="41" max="41" width="19.88671875" customWidth="1"/>
    <col min="42" max="42" width="22.5546875" customWidth="1"/>
    <col min="43" max="43" width="28" customWidth="1"/>
    <col min="44" max="44" width="26.33203125" customWidth="1"/>
  </cols>
  <sheetData>
    <row r="1" spans="1:44"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09C40-6336-4976-AE23-79A494669F6A}">
  <dimension ref="A3:E7"/>
  <sheetViews>
    <sheetView workbookViewId="0">
      <selection activeCell="C3" sqref="C3"/>
    </sheetView>
  </sheetViews>
  <sheetFormatPr defaultRowHeight="14.4" x14ac:dyDescent="0.3"/>
  <cols>
    <col min="1" max="1" width="15.33203125" bestFit="1" customWidth="1"/>
    <col min="2" max="2" width="22.88671875" bestFit="1" customWidth="1"/>
    <col min="3" max="3" width="13.88671875" bestFit="1" customWidth="1"/>
    <col min="4" max="4" width="14.5546875" bestFit="1" customWidth="1"/>
    <col min="5" max="5" width="12" bestFit="1" customWidth="1"/>
  </cols>
  <sheetData>
    <row r="3" spans="1:5" x14ac:dyDescent="0.3">
      <c r="A3" t="s">
        <v>1554</v>
      </c>
      <c r="B3" t="s">
        <v>1555</v>
      </c>
      <c r="C3" t="s">
        <v>1556</v>
      </c>
    </row>
    <row r="4" spans="1:5" x14ac:dyDescent="0.3">
      <c r="A4">
        <v>1470</v>
      </c>
      <c r="B4">
        <v>237</v>
      </c>
      <c r="C4">
        <v>36.923809523809524</v>
      </c>
    </row>
    <row r="6" spans="1:5" x14ac:dyDescent="0.3">
      <c r="A6" t="s">
        <v>1557</v>
      </c>
      <c r="B6" t="s">
        <v>1558</v>
      </c>
      <c r="C6" t="s">
        <v>1559</v>
      </c>
      <c r="D6" t="s">
        <v>1560</v>
      </c>
      <c r="E6" t="s">
        <v>1561</v>
      </c>
    </row>
    <row r="7" spans="1:5" x14ac:dyDescent="0.3">
      <c r="A7">
        <f>GETPIVOTDATA("Count of emp no",$A$3)</f>
        <v>1470</v>
      </c>
      <c r="B7">
        <f>GETPIVOTDATA("Sum of CF_attrition count",$A$3)</f>
        <v>237</v>
      </c>
      <c r="C7" s="3">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0448-BBAD-472D-BEC0-68E092AD68E5}">
  <dimension ref="A1"/>
  <sheetViews>
    <sheetView showGridLines="0" tabSelected="1" topLeftCell="A3" zoomScale="66" workbookViewId="0">
      <selection activeCell="AA34" sqref="AA3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vt:lpstr>
      <vt:lpstr>Sheet1</vt:lpstr>
      <vt:lpstr>Education by Attrition</vt:lpstr>
      <vt:lpstr>Sheet3</vt:lpstr>
      <vt:lpstr>Dept wise Attrition</vt:lpstr>
      <vt:lpstr>Attrition by Age group</vt:lpstr>
      <vt:lpstr>Sheet6</vt:lpstr>
      <vt:lpstr>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Medar</dc:creator>
  <cp:lastModifiedBy>Prasad Medar</cp:lastModifiedBy>
  <dcterms:created xsi:type="dcterms:W3CDTF">2026-06-16T10:16:28Z</dcterms:created>
  <dcterms:modified xsi:type="dcterms:W3CDTF">2026-06-25T08:04:33Z</dcterms:modified>
</cp:coreProperties>
</file>